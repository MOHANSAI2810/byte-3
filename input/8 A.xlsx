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G:\My Drive\ByTE-SLHS\Internal    Niharika\"/>
    </mc:Choice>
  </mc:AlternateContent>
  <xr:revisionPtr revIDLastSave="0" documentId="13_ncr:1_{746AFD0F-75A9-4E61-88F3-4B964EB4D8AD}" xr6:coauthVersionLast="47" xr6:coauthVersionMax="47" xr10:uidLastSave="{00000000-0000-0000-0000-000000000000}"/>
  <bookViews>
    <workbookView xWindow="-98" yWindow="-98" windowWidth="21795" windowHeight="12975" xr2:uid="{4F87DD15-7C28-4111-988E-FDCFB4AA4F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116" i="1" l="1" a="1"/>
  <c r="BH116" i="1" s="1"/>
  <c r="BH117" i="1" a="1"/>
  <c r="BH117" i="1" s="1"/>
  <c r="BH118" i="1" a="1"/>
  <c r="BH118" i="1" s="1"/>
  <c r="BH119" i="1" a="1"/>
  <c r="BH119" i="1" s="1"/>
  <c r="BH120" i="1" a="1"/>
  <c r="BH120" i="1" s="1"/>
  <c r="BH121" i="1" a="1"/>
  <c r="BH121" i="1" s="1"/>
  <c r="BH122" i="1" a="1"/>
  <c r="BH122" i="1" s="1"/>
  <c r="BH123" i="1" a="1"/>
  <c r="BH123" i="1" s="1"/>
  <c r="BH124" i="1" a="1"/>
  <c r="BH124" i="1" s="1"/>
  <c r="BH125" i="1" a="1"/>
  <c r="BH125" i="1" s="1"/>
  <c r="BH126" i="1" a="1"/>
  <c r="BH126" i="1" s="1"/>
  <c r="BH127" i="1" a="1"/>
  <c r="BH127" i="1" s="1"/>
  <c r="BH128" i="1" a="1"/>
  <c r="BH128" i="1" s="1"/>
  <c r="BH129" i="1" a="1"/>
  <c r="BH129" i="1" s="1"/>
  <c r="BH130" i="1" a="1"/>
  <c r="BH130" i="1" s="1"/>
  <c r="BH131" i="1" a="1"/>
  <c r="BH131" i="1" s="1"/>
  <c r="BH132" i="1" a="1"/>
  <c r="BH132" i="1" s="1"/>
  <c r="BH133" i="1" a="1"/>
  <c r="BH133" i="1" s="1"/>
  <c r="BH134" i="1" a="1"/>
  <c r="BH134" i="1" s="1"/>
  <c r="BH135" i="1" a="1"/>
  <c r="BH135" i="1" s="1"/>
  <c r="BH136" i="1" a="1"/>
  <c r="BH136" i="1" s="1"/>
  <c r="BH137" i="1" a="1"/>
  <c r="BH137" i="1" s="1"/>
  <c r="BH138" i="1" a="1"/>
  <c r="BH138" i="1" s="1"/>
  <c r="BH139" i="1" a="1"/>
  <c r="BH139" i="1" s="1"/>
  <c r="BH140" i="1" a="1"/>
  <c r="BH140" i="1" s="1"/>
  <c r="BH141" i="1" a="1"/>
  <c r="BH141" i="1" s="1"/>
  <c r="BH142" i="1" a="1"/>
  <c r="BH142" i="1" s="1"/>
  <c r="BH143" i="1" a="1"/>
  <c r="BH143" i="1" s="1"/>
  <c r="BH144" i="1" a="1"/>
  <c r="BH144" i="1" s="1"/>
  <c r="BH145" i="1" a="1"/>
  <c r="BH145" i="1" s="1"/>
  <c r="BH146" i="1" a="1"/>
  <c r="BH146" i="1" s="1"/>
  <c r="BH147" i="1" a="1"/>
  <c r="BH147" i="1" s="1"/>
  <c r="BH148" i="1" a="1"/>
  <c r="BH148" i="1" s="1"/>
  <c r="BH149" i="1" a="1"/>
  <c r="BH149" i="1" s="1"/>
  <c r="BH150" i="1" a="1"/>
  <c r="BH150" i="1" s="1"/>
  <c r="BH151" i="1" a="1"/>
  <c r="BH151" i="1" s="1"/>
  <c r="BH152" i="1" a="1"/>
  <c r="BH152" i="1" s="1"/>
  <c r="BH153" i="1" a="1"/>
  <c r="BH153" i="1" s="1"/>
  <c r="BH154" i="1" a="1"/>
  <c r="BH154" i="1" s="1"/>
  <c r="BH155" i="1" a="1"/>
  <c r="BH155" i="1" s="1"/>
  <c r="BH156" i="1" a="1"/>
  <c r="BH156" i="1" s="1"/>
  <c r="BH157" i="1" a="1"/>
  <c r="BH157" i="1" s="1"/>
  <c r="BH158" i="1" a="1"/>
  <c r="BH158" i="1" s="1"/>
  <c r="BH159" i="1" a="1"/>
  <c r="BH159" i="1" s="1"/>
  <c r="BH160" i="1" a="1"/>
  <c r="BH160" i="1" s="1"/>
  <c r="BH161" i="1" a="1"/>
  <c r="BH161" i="1" s="1"/>
  <c r="BH162" i="1" a="1"/>
  <c r="BH162" i="1" s="1"/>
  <c r="BH163" i="1" a="1"/>
  <c r="BH163" i="1" s="1"/>
  <c r="BH164" i="1" a="1"/>
  <c r="BH164" i="1" s="1"/>
  <c r="BH165" i="1" a="1"/>
  <c r="BH165" i="1" s="1"/>
  <c r="BH166" i="1" a="1"/>
  <c r="BH166" i="1" s="1"/>
  <c r="BH167" i="1" a="1"/>
  <c r="BH167" i="1" s="1"/>
  <c r="BH168" i="1" a="1"/>
  <c r="BH168" i="1" s="1"/>
  <c r="BH169" i="1" a="1"/>
  <c r="BH169" i="1" s="1"/>
  <c r="BH170" i="1" a="1"/>
  <c r="BH170" i="1"/>
  <c r="BH171" i="1" a="1"/>
  <c r="BH171" i="1" s="1"/>
  <c r="BH172" i="1" a="1"/>
  <c r="BH172" i="1" s="1"/>
  <c r="BH173" i="1" a="1"/>
  <c r="BH173" i="1" s="1"/>
  <c r="BH174" i="1" a="1"/>
  <c r="BH174" i="1" s="1"/>
  <c r="BH175" i="1" a="1"/>
  <c r="BH175" i="1" s="1"/>
  <c r="BH176" i="1" a="1"/>
  <c r="BH176" i="1" s="1"/>
  <c r="BH177" i="1" a="1"/>
  <c r="BH177" i="1" s="1"/>
  <c r="BH178" i="1" a="1"/>
  <c r="BH178" i="1" s="1"/>
  <c r="BH179" i="1" a="1"/>
  <c r="BH179" i="1" s="1"/>
  <c r="BH180" i="1" a="1"/>
  <c r="BH180" i="1" s="1"/>
  <c r="BH181" i="1" a="1"/>
  <c r="BH181" i="1" s="1"/>
  <c r="BH182" i="1" a="1"/>
  <c r="BH182" i="1" s="1"/>
  <c r="BH183" i="1" a="1"/>
  <c r="BH183" i="1" s="1"/>
  <c r="BH184" i="1" a="1"/>
  <c r="BH184" i="1" s="1"/>
  <c r="BH185" i="1" a="1"/>
  <c r="BH185" i="1" s="1"/>
  <c r="BH186" i="1" a="1"/>
  <c r="BH186" i="1" s="1"/>
  <c r="BH187" i="1" a="1"/>
  <c r="BH187" i="1" s="1"/>
  <c r="BH188" i="1" a="1"/>
  <c r="BH188" i="1" s="1"/>
  <c r="BH189" i="1" a="1"/>
  <c r="BH189" i="1" s="1"/>
  <c r="BH190" i="1" a="1"/>
  <c r="BH190" i="1" s="1"/>
  <c r="BH191" i="1" a="1"/>
  <c r="BH191" i="1" s="1"/>
  <c r="BH192" i="1" a="1"/>
  <c r="BH192" i="1" s="1"/>
  <c r="BH193" i="1" a="1"/>
  <c r="BH193" i="1" s="1"/>
  <c r="BH194" i="1" a="1"/>
  <c r="BH194" i="1" s="1"/>
  <c r="BH195" i="1" a="1"/>
  <c r="BH195" i="1" s="1"/>
  <c r="BH196" i="1" a="1"/>
  <c r="BH196" i="1" s="1"/>
  <c r="BH197" i="1" a="1"/>
  <c r="BH197" i="1" s="1"/>
  <c r="BH198" i="1" a="1"/>
  <c r="BH198" i="1" s="1"/>
  <c r="BH199" i="1" a="1"/>
  <c r="BH199" i="1" s="1"/>
  <c r="BH200" i="1" a="1"/>
  <c r="BH200" i="1" s="1"/>
  <c r="BH201" i="1" a="1"/>
  <c r="BH201" i="1" s="1"/>
  <c r="BH202" i="1" a="1"/>
  <c r="BH202" i="1" s="1"/>
  <c r="BH203" i="1" a="1"/>
  <c r="BH203" i="1" s="1"/>
  <c r="BH204" i="1" a="1"/>
  <c r="BH204" i="1" s="1"/>
  <c r="BH205" i="1" a="1"/>
  <c r="BH205" i="1" s="1"/>
  <c r="BH206" i="1" a="1"/>
  <c r="BH206" i="1" s="1"/>
  <c r="BH207" i="1" a="1"/>
  <c r="BH207" i="1" s="1"/>
  <c r="BH208" i="1" a="1"/>
  <c r="BH208" i="1" s="1"/>
  <c r="BG185" i="1"/>
  <c r="BG186" i="1"/>
  <c r="BG187" i="1"/>
  <c r="BG188" i="1"/>
  <c r="BG189" i="1"/>
  <c r="BG190" i="1"/>
  <c r="BG191" i="1"/>
  <c r="BG192" i="1"/>
  <c r="BG193" i="1"/>
  <c r="BG194" i="1"/>
  <c r="BG195" i="1"/>
  <c r="BG196" i="1"/>
  <c r="BG197" i="1"/>
  <c r="BG198" i="1"/>
  <c r="BG199" i="1"/>
  <c r="BG200" i="1"/>
  <c r="BG201" i="1"/>
  <c r="BG202" i="1"/>
  <c r="BG203" i="1"/>
  <c r="BG204" i="1"/>
  <c r="BG205" i="1"/>
  <c r="BG206" i="1"/>
  <c r="BG207" i="1"/>
  <c r="BG208"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16" i="1"/>
  <c r="BG117" i="1"/>
  <c r="BG118" i="1"/>
  <c r="BG119" i="1"/>
  <c r="BG120" i="1"/>
  <c r="BG121" i="1"/>
  <c r="BG122" i="1"/>
  <c r="BG123" i="1"/>
  <c r="BG124" i="1"/>
  <c r="BG125" i="1"/>
  <c r="BG126" i="1"/>
  <c r="BG127" i="1"/>
  <c r="BG128" i="1"/>
  <c r="BG129" i="1"/>
  <c r="BG130" i="1"/>
  <c r="BG131" i="1"/>
  <c r="BG132" i="1"/>
  <c r="BG133" i="1"/>
  <c r="BG134" i="1"/>
  <c r="BG135" i="1"/>
  <c r="BG136" i="1"/>
  <c r="BH115" i="1" a="1"/>
  <c r="BH115" i="1" s="1"/>
  <c r="BG115" i="1"/>
  <c r="BH114" i="1" a="1"/>
  <c r="BH114" i="1" s="1"/>
  <c r="BG114" i="1"/>
  <c r="BH113" i="1" a="1"/>
  <c r="BH113" i="1" s="1"/>
  <c r="BG113" i="1"/>
  <c r="BH112" i="1" a="1"/>
  <c r="BH112" i="1" s="1"/>
  <c r="BG112" i="1"/>
  <c r="BH111" i="1" a="1"/>
  <c r="BH111" i="1" s="1"/>
  <c r="BG111" i="1"/>
  <c r="BH110" i="1" a="1"/>
  <c r="BH110" i="1" s="1"/>
  <c r="BG110" i="1"/>
  <c r="BH109" i="1" a="1"/>
  <c r="BH109" i="1" s="1"/>
  <c r="BG109" i="1"/>
  <c r="BH108" i="1" a="1"/>
  <c r="BH108" i="1" s="1"/>
  <c r="BG108" i="1"/>
  <c r="BH107" i="1" a="1"/>
  <c r="BH107" i="1" s="1"/>
  <c r="BG107" i="1"/>
  <c r="BH106" i="1" a="1"/>
  <c r="BH106" i="1" s="1"/>
  <c r="BG106" i="1"/>
  <c r="BH105" i="1" a="1"/>
  <c r="BH105" i="1" s="1"/>
  <c r="BG105" i="1"/>
  <c r="BH104" i="1" a="1"/>
  <c r="BH104" i="1" s="1"/>
  <c r="BG104" i="1"/>
  <c r="BH103" i="1" a="1"/>
  <c r="BH103" i="1" s="1"/>
  <c r="BG103" i="1"/>
  <c r="BH102" i="1" a="1"/>
  <c r="BH102" i="1" s="1"/>
  <c r="BG102" i="1"/>
  <c r="BH101" i="1" a="1"/>
  <c r="BH101" i="1" s="1"/>
  <c r="BG101" i="1"/>
  <c r="BH100" i="1" a="1"/>
  <c r="BH100" i="1" s="1"/>
  <c r="BG100" i="1"/>
  <c r="BH99" i="1" a="1"/>
  <c r="BH99" i="1" s="1"/>
  <c r="BG99" i="1"/>
  <c r="BH98" i="1" a="1"/>
  <c r="BH98" i="1" s="1"/>
  <c r="BG98" i="1"/>
  <c r="BH97" i="1" a="1"/>
  <c r="BH97" i="1" s="1"/>
  <c r="BG97" i="1"/>
  <c r="BH96" i="1" a="1"/>
  <c r="BH96" i="1" s="1"/>
  <c r="BG96" i="1"/>
  <c r="BH95" i="1" a="1"/>
  <c r="BH95" i="1" s="1"/>
  <c r="BG95" i="1"/>
  <c r="BH94" i="1" a="1"/>
  <c r="BH94" i="1" s="1"/>
  <c r="BG94" i="1"/>
  <c r="BH93" i="1" a="1"/>
  <c r="BH93" i="1" s="1"/>
  <c r="BG93" i="1"/>
  <c r="BH92" i="1" a="1"/>
  <c r="BH92" i="1" s="1"/>
  <c r="BG92" i="1"/>
  <c r="BH91" i="1" a="1"/>
  <c r="BH91" i="1" s="1"/>
  <c r="BG91" i="1"/>
  <c r="BH90" i="1" a="1"/>
  <c r="BH90" i="1" s="1"/>
  <c r="BG90" i="1"/>
  <c r="BH89" i="1" a="1"/>
  <c r="BH89" i="1" s="1"/>
  <c r="BG89" i="1"/>
  <c r="BH88" i="1" a="1"/>
  <c r="BH88" i="1" s="1"/>
  <c r="BG88" i="1"/>
  <c r="BH87" i="1" a="1"/>
  <c r="BH87" i="1" s="1"/>
  <c r="BG87" i="1"/>
  <c r="BH86" i="1" a="1"/>
  <c r="BH86" i="1" s="1"/>
  <c r="BG86" i="1"/>
  <c r="BH85" i="1" a="1"/>
  <c r="BH85" i="1" s="1"/>
  <c r="BG85" i="1"/>
  <c r="BH84" i="1" a="1"/>
  <c r="BH84" i="1" s="1"/>
  <c r="BG84" i="1"/>
  <c r="BH83" i="1" a="1"/>
  <c r="BH83" i="1" s="1"/>
  <c r="BG83" i="1"/>
  <c r="BH82" i="1" a="1"/>
  <c r="BH82" i="1" s="1"/>
  <c r="BG82" i="1"/>
  <c r="BH81" i="1" a="1"/>
  <c r="BH81" i="1" s="1"/>
  <c r="BG81" i="1"/>
  <c r="BH80" i="1" a="1"/>
  <c r="BH80" i="1" s="1"/>
  <c r="BG80" i="1"/>
  <c r="BH79" i="1" a="1"/>
  <c r="BH79" i="1" s="1"/>
  <c r="BG79" i="1"/>
  <c r="BH78" i="1" a="1"/>
  <c r="BH78" i="1" s="1"/>
  <c r="BG78" i="1"/>
  <c r="BH77" i="1" a="1"/>
  <c r="BH77" i="1" s="1"/>
  <c r="BG77" i="1"/>
  <c r="BH76" i="1" a="1"/>
  <c r="BH76" i="1" s="1"/>
  <c r="BG76" i="1"/>
  <c r="BH75" i="1" a="1"/>
  <c r="BH75" i="1" s="1"/>
  <c r="BG75" i="1"/>
  <c r="BH74" i="1" a="1"/>
  <c r="BH74" i="1" s="1"/>
  <c r="BG74" i="1"/>
  <c r="BH73" i="1" a="1"/>
  <c r="BH73" i="1" s="1"/>
  <c r="BG73" i="1"/>
  <c r="BH72" i="1" a="1"/>
  <c r="BH72" i="1" s="1"/>
  <c r="BG72" i="1"/>
  <c r="BH71" i="1" a="1"/>
  <c r="BH71" i="1" s="1"/>
  <c r="BG71" i="1"/>
  <c r="BH70" i="1" a="1"/>
  <c r="BH70" i="1" s="1"/>
  <c r="BG70" i="1"/>
  <c r="BH69" i="1" a="1"/>
  <c r="BH69" i="1" s="1"/>
  <c r="BG69" i="1"/>
  <c r="BH68" i="1" a="1"/>
  <c r="BH68" i="1" s="1"/>
  <c r="BG68" i="1"/>
  <c r="BH67" i="1" a="1"/>
  <c r="BH67" i="1" s="1"/>
  <c r="BG67" i="1"/>
  <c r="BH66" i="1" a="1"/>
  <c r="BH66" i="1" s="1"/>
  <c r="BG66" i="1"/>
  <c r="BH65" i="1" a="1"/>
  <c r="BH65" i="1" s="1"/>
  <c r="BG65" i="1"/>
  <c r="BH64" i="1" a="1"/>
  <c r="BH64" i="1" s="1"/>
  <c r="BG64" i="1"/>
  <c r="BH63" i="1" a="1"/>
  <c r="BH63" i="1" s="1"/>
  <c r="BG63" i="1"/>
  <c r="BH62" i="1" a="1"/>
  <c r="BH62" i="1" s="1"/>
  <c r="BG62" i="1"/>
  <c r="BH61" i="1" a="1"/>
  <c r="BH61" i="1" s="1"/>
  <c r="BG61" i="1"/>
  <c r="BH60" i="1" a="1"/>
  <c r="BH60" i="1" s="1"/>
  <c r="BG60" i="1"/>
  <c r="BH59" i="1" a="1"/>
  <c r="BH59" i="1" s="1"/>
  <c r="BG59" i="1"/>
  <c r="BH58" i="1" a="1"/>
  <c r="BH58" i="1" s="1"/>
  <c r="BG58" i="1"/>
  <c r="BH57" i="1" a="1"/>
  <c r="BH57" i="1" s="1"/>
  <c r="BG57" i="1"/>
  <c r="BH56" i="1" a="1"/>
  <c r="BH56" i="1" s="1"/>
  <c r="BG56" i="1"/>
  <c r="BH55" i="1" a="1"/>
  <c r="BH55" i="1" s="1"/>
  <c r="BG55" i="1"/>
  <c r="BH54" i="1" a="1"/>
  <c r="BH54" i="1" s="1"/>
  <c r="BG54" i="1"/>
  <c r="BH53" i="1" a="1"/>
  <c r="BH53" i="1" s="1"/>
  <c r="BG53" i="1"/>
  <c r="BH52" i="1" a="1"/>
  <c r="BH52" i="1" s="1"/>
  <c r="BG52" i="1"/>
  <c r="BH51" i="1" a="1"/>
  <c r="BH51" i="1" s="1"/>
  <c r="BG51" i="1"/>
  <c r="BH50" i="1" a="1"/>
  <c r="BH50" i="1" s="1"/>
  <c r="BG50" i="1"/>
  <c r="BH49" i="1" a="1"/>
  <c r="BH49" i="1" s="1"/>
  <c r="BG49" i="1"/>
  <c r="BH48" i="1" a="1"/>
  <c r="BH48" i="1" s="1"/>
  <c r="BG48" i="1"/>
  <c r="BH47" i="1" a="1"/>
  <c r="BH47" i="1" s="1"/>
  <c r="BG47" i="1"/>
  <c r="BH46" i="1" a="1"/>
  <c r="BH46" i="1" s="1"/>
  <c r="BG46" i="1"/>
  <c r="BH45" i="1" a="1"/>
  <c r="BH45" i="1" s="1"/>
  <c r="BG45" i="1"/>
  <c r="BH44" i="1" a="1"/>
  <c r="BH44" i="1" s="1"/>
  <c r="BG44" i="1"/>
  <c r="BH43" i="1" a="1"/>
  <c r="BH43" i="1" s="1"/>
  <c r="BG43" i="1"/>
  <c r="BH42" i="1" a="1"/>
  <c r="BH42" i="1" s="1"/>
  <c r="BG42" i="1"/>
  <c r="BH41" i="1" a="1"/>
  <c r="BH41" i="1" s="1"/>
  <c r="BG41" i="1"/>
  <c r="BH40" i="1" a="1"/>
  <c r="BH40" i="1" s="1"/>
  <c r="BG40" i="1"/>
  <c r="BH39" i="1" a="1"/>
  <c r="BH39" i="1" s="1"/>
  <c r="BG39" i="1"/>
  <c r="BH38" i="1" a="1"/>
  <c r="BH38" i="1" s="1"/>
  <c r="BG38" i="1"/>
  <c r="BH37" i="1" a="1"/>
  <c r="BH37" i="1" s="1"/>
  <c r="BG37" i="1"/>
  <c r="BH36" i="1" a="1"/>
  <c r="BH36" i="1" s="1"/>
  <c r="BG36" i="1"/>
  <c r="BH35" i="1" a="1"/>
  <c r="BH35" i="1" s="1"/>
  <c r="BG35" i="1"/>
  <c r="BH34" i="1" a="1"/>
  <c r="BH34" i="1" s="1"/>
  <c r="BG34" i="1"/>
  <c r="BH33" i="1" a="1"/>
  <c r="BH33" i="1" s="1"/>
  <c r="BG33" i="1"/>
  <c r="BH32" i="1" a="1"/>
  <c r="BH32" i="1" s="1"/>
  <c r="BG32" i="1"/>
  <c r="BH31" i="1" a="1"/>
  <c r="BH31" i="1" s="1"/>
  <c r="BG31" i="1"/>
  <c r="BH30" i="1" a="1"/>
  <c r="BH30" i="1" s="1"/>
  <c r="BG30" i="1"/>
  <c r="BH29" i="1" a="1"/>
  <c r="BH29" i="1" s="1"/>
  <c r="BG29" i="1"/>
  <c r="BH28" i="1" a="1"/>
  <c r="BH28" i="1" s="1"/>
  <c r="BG28" i="1"/>
  <c r="BH27" i="1" a="1"/>
  <c r="BH27" i="1" s="1"/>
  <c r="BG27" i="1"/>
  <c r="BH26" i="1" a="1"/>
  <c r="BH26" i="1" s="1"/>
  <c r="BG26" i="1"/>
  <c r="BH25" i="1" a="1"/>
  <c r="BH25" i="1" s="1"/>
  <c r="BG25" i="1"/>
  <c r="BH24" i="1" a="1"/>
  <c r="BH24" i="1" s="1"/>
  <c r="BG24" i="1"/>
  <c r="BH23" i="1" a="1"/>
  <c r="BH23" i="1" s="1"/>
  <c r="BG23" i="1"/>
  <c r="BH22" i="1" a="1"/>
  <c r="BH22" i="1" s="1"/>
  <c r="BG22" i="1"/>
  <c r="BH21" i="1" a="1"/>
  <c r="BH21" i="1" s="1"/>
  <c r="BG21" i="1"/>
  <c r="BH20" i="1" a="1"/>
  <c r="BH20" i="1" s="1"/>
  <c r="BG20" i="1"/>
  <c r="BH19" i="1" a="1"/>
  <c r="BH19" i="1" s="1"/>
  <c r="BG19" i="1"/>
  <c r="BH18" i="1" a="1"/>
  <c r="BH18" i="1" s="1"/>
  <c r="BG18" i="1"/>
  <c r="BH17" i="1" a="1"/>
  <c r="BH17" i="1" s="1"/>
  <c r="BG17" i="1"/>
  <c r="BG16" i="1" a="1"/>
  <c r="BG16" i="1" s="1"/>
  <c r="BF16" i="1"/>
  <c r="BH15" i="1" a="1"/>
  <c r="BH15" i="1" s="1"/>
  <c r="BG15" i="1"/>
  <c r="BH14" i="1" a="1"/>
  <c r="BH14" i="1" s="1"/>
  <c r="BG14" i="1"/>
  <c r="BH13" i="1" a="1"/>
  <c r="BH13" i="1" s="1"/>
  <c r="BG13" i="1"/>
  <c r="BH12" i="1" a="1"/>
  <c r="BH12" i="1" s="1"/>
  <c r="BG12" i="1"/>
  <c r="BH11" i="1" a="1"/>
  <c r="BH11" i="1" s="1"/>
  <c r="BG11" i="1"/>
  <c r="BH10" i="1" a="1"/>
  <c r="BH10" i="1" s="1"/>
  <c r="BG10" i="1"/>
  <c r="BH9" i="1" a="1"/>
  <c r="BH9" i="1" s="1"/>
  <c r="BG9" i="1"/>
  <c r="BH8" i="1" a="1"/>
  <c r="BH8" i="1" s="1"/>
  <c r="BG8" i="1"/>
  <c r="BH7" i="1" a="1"/>
  <c r="BH7" i="1" s="1"/>
  <c r="BG7" i="1"/>
  <c r="BH6" i="1" a="1"/>
  <c r="BH6" i="1" s="1"/>
  <c r="BG6" i="1"/>
  <c r="BH5" i="1" a="1"/>
  <c r="BH5" i="1" s="1"/>
  <c r="BG5" i="1"/>
  <c r="BH4" i="1" a="1"/>
  <c r="BH4" i="1" s="1"/>
  <c r="BG4" i="1"/>
  <c r="BL3" i="1" a="1"/>
  <c r="BL3" i="1" s="1"/>
  <c r="BK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<sst xmlns="http://schemas.openxmlformats.org/spreadsheetml/2006/main" count="1435" uniqueCount="394">
  <si>
    <t>Week 1</t>
  </si>
  <si>
    <t>Week 2</t>
  </si>
  <si>
    <t>Week 3</t>
  </si>
  <si>
    <t>Week 4</t>
  </si>
  <si>
    <t>Week 5</t>
  </si>
  <si>
    <t>Week 6</t>
  </si>
  <si>
    <t>Week 7</t>
  </si>
  <si>
    <t>Week 8</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</si>
  <si>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</si>
  <si>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</si>
  <si>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</si>
  <si>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</si>
  <si>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</si>
  <si>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</si>
  <si>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</si>
  <si>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</si>
  <si>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</si>
  <si>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</si>
  <si>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</si>
  <si>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</si>
  <si>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</si>
  <si>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</si>
  <si>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</si>
  <si>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</si>
  <si>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</si>
  <si>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</si>
  <si>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</si>
  <si>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</si>
  <si>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</si>
  <si>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Average</t>
  </si>
  <si>
    <t>ByTE Review - 1</t>
  </si>
  <si>
    <t>ByTE Review - 2</t>
  </si>
  <si>
    <t>ByTE Review - 3</t>
  </si>
  <si>
    <t>Student Name / Roll Number</t>
  </si>
  <si>
    <t>Co-Curriculars</t>
  </si>
  <si>
    <t>Score</t>
  </si>
  <si>
    <t>Feedback</t>
  </si>
  <si>
    <t>Score Average</t>
  </si>
  <si>
    <t>Consolidated feedback</t>
  </si>
  <si>
    <t>Academics</t>
  </si>
  <si>
    <t>Games</t>
  </si>
  <si>
    <t>Computers</t>
  </si>
  <si>
    <t>Drawing</t>
  </si>
  <si>
    <t>Library</t>
  </si>
  <si>
    <t>Others</t>
  </si>
  <si>
    <t>VISANAKARA CHARAN TEJA</t>
  </si>
  <si>
    <t>KANDULA GNANADEEP</t>
  </si>
  <si>
    <t>VADDEMANU HARSHA</t>
  </si>
  <si>
    <t>I JOEL RICHARD</t>
  </si>
  <si>
    <t>BHOJARAJU KARTHIK</t>
  </si>
  <si>
    <t>KURUVA LOHITH</t>
  </si>
  <si>
    <t>BOYA MAHESH</t>
  </si>
  <si>
    <t>PASULA RITHESH NAIDU</t>
  </si>
  <si>
    <t>KASAPOGU SUBHASH</t>
  </si>
  <si>
    <t>P VARUN TEJ</t>
  </si>
  <si>
    <t>K VIHAN SREYAS</t>
  </si>
  <si>
    <t>SHAIK SHADAB</t>
  </si>
  <si>
    <t>BUKKA SRAVAN SAI</t>
  </si>
  <si>
    <t>K RAKESH KUMAR ACHARI</t>
  </si>
  <si>
    <t>CHELLAPALLI ANUPRIYA</t>
  </si>
  <si>
    <t>SHAIK ASRA</t>
  </si>
  <si>
    <t>T CHITRA</t>
  </si>
  <si>
    <t>UPPARI  GAYATHRI</t>
  </si>
  <si>
    <t>KEERTHI KUMARI</t>
  </si>
  <si>
    <t>NAGAMALLI MANIDEEPA</t>
  </si>
  <si>
    <t>VALMIKI PAVANI</t>
  </si>
  <si>
    <t>MITTI SHANTHI</t>
  </si>
  <si>
    <t>SONU KUMARI</t>
  </si>
  <si>
    <t>KASEPOGU SUPRIYA</t>
  </si>
  <si>
    <t xml:space="preserve"> MANGALI SWAPNA</t>
  </si>
  <si>
    <t>8A</t>
  </si>
  <si>
    <t>NEUTRAL PARTICIPATING</t>
  </si>
  <si>
    <t>GOOD IN READING CAN IMPROVE MORE</t>
  </si>
  <si>
    <t>GOOD AND LEARNING VOCABUALRY</t>
  </si>
  <si>
    <t xml:space="preserve">GOOD READER AND INTRESTED IN NEWS ALSO IN TELUGU LANGUAGE,AND ALSO UNDERSTANDS  THEAME OF THE BOOKS STORIES </t>
  </si>
  <si>
    <t>JUST PARTICIPATION</t>
  </si>
  <si>
    <t>AVERAGE PARTICIPATION</t>
  </si>
  <si>
    <t>AVERAGE PARTICIPATION NEED IMPROVE MORE</t>
  </si>
  <si>
    <t>AVEARAGE PARTICIPATION</t>
  </si>
  <si>
    <t xml:space="preserve"> AVERARAGE PARTICIPATION</t>
  </si>
  <si>
    <t>JUST PARTICIPATION NEED TO IMPROVE</t>
  </si>
  <si>
    <t>NEAUTRAL  PARTICIPATION</t>
  </si>
  <si>
    <t>AB</t>
  </si>
  <si>
    <t>ABSENT</t>
  </si>
  <si>
    <t>GOOD IN DRAWING WITH EXACT MEASUREMENTS ,AND  ENJOYS DOING</t>
  </si>
  <si>
    <t>GOOD IN PENSILING ,GOOD OBSERVATION IN PENSILING WITH INTREST PAARTICIPATING</t>
  </si>
  <si>
    <t>JUST PARTCIPATING</t>
  </si>
  <si>
    <t>TELUGU EESHWAR</t>
  </si>
  <si>
    <t>DOING GOOD IN DRAWING WITH CONCETRATE BUT NEED MORE PRACTISE</t>
  </si>
  <si>
    <t>DOING GOOD IN DRAWING NEED TO PRACTISE MORE</t>
  </si>
  <si>
    <t>GOOD IN DRAWING BUT NEED TO CONCETRATE</t>
  </si>
  <si>
    <t>INTRESTED IN WHRITINGS</t>
  </si>
  <si>
    <t>JUST PARTICIPATING</t>
  </si>
  <si>
    <t xml:space="preserve">DOING GOOD WITH HIGH INTREST ,AND WITH GREAT OUTLINE MEASUREMTS </t>
  </si>
  <si>
    <t>GOOD  BUT NEED TO IMPROVE</t>
  </si>
  <si>
    <t>GOOD DRAWING IN EXACT MEASUREMENTS AND NEATLY SCETCHING</t>
  </si>
  <si>
    <t>DOING GOOD NEED TO IMPROVE MORE</t>
  </si>
  <si>
    <t>GOOD IN SCETCHIN,PAINTING,INANNIME,GREAT INTREST WITH DOING</t>
  </si>
  <si>
    <t>GOOD IN DOING,BUT NEED TO IMPROVE</t>
  </si>
  <si>
    <t>GOOD DRAWING,WITH CONCETRATE AND NEATLY DRAWING OUTLINES,EDGES,ENJOYS WHILE DOING</t>
  </si>
  <si>
    <t>AVERAGE PARTCIPATION</t>
  </si>
  <si>
    <t>GOOD IN SHETTLE</t>
  </si>
  <si>
    <t>GOOD OBSERVATION DRAWING NEATLY USING EDGES AND OUTLINE</t>
  </si>
  <si>
    <t>SHOWING INTEREST BUT NEED PRACTICE</t>
  </si>
  <si>
    <t>GOOD IN SHUTTLE</t>
  </si>
  <si>
    <t>SHAIK MD HYDER</t>
  </si>
  <si>
    <t>DOING GOOD BUT NEED TO CONCENTRATE</t>
  </si>
  <si>
    <t>GOOD IN READING VOCABULARY BUT NEED TO CONCENTATE</t>
  </si>
  <si>
    <t>GOOD INTERSESTIN REAIDNG IN PANCHATHANTRA,ANIMALS STORIES,ENJOYS WHILE READING</t>
  </si>
  <si>
    <t>REPALLE SUCHIN TEJ</t>
  </si>
  <si>
    <t>UPPARI RUDRA SAI</t>
  </si>
  <si>
    <t>GREAT FOCUS IN READING,VERY THOUGHT PROVOKING,GOOD INTEREST IN READING</t>
  </si>
  <si>
    <t>GOOD INTERSESTIN REAIDNG IN STORIES,ENJOYS WHILE READING WITH FOCUS</t>
  </si>
  <si>
    <t>GOOD INTESREST BUT NEED TO IMPROVE VOCABULARY</t>
  </si>
  <si>
    <t>INTERESTED IN MYTHOLOGY,CARTOONS STORIES,WITH GOOD FOCUS READING</t>
  </si>
  <si>
    <t>NEED TO IMPROVE MORE</t>
  </si>
  <si>
    <t>DOING GOOD NEED TO IMPROVE</t>
  </si>
  <si>
    <t>DOING GOOD NEED TO PRACTISE VOCABULARY</t>
  </si>
  <si>
    <t>AVERAGE PERFORMANCE</t>
  </si>
  <si>
    <t>DOING GOOD NEED TO CONCENTRATE</t>
  </si>
  <si>
    <t xml:space="preserve">GOOD IN READING </t>
  </si>
  <si>
    <t>NEAUTRAL PARTCIPATION</t>
  </si>
  <si>
    <t>JUST PATCIPATION</t>
  </si>
  <si>
    <t>GOOD IN READING NEED TO IMPROVE VOCABULARY</t>
  </si>
  <si>
    <t>VOCABULARY IS GOOD BUT  NEED TO CONCENTRATE</t>
  </si>
  <si>
    <t>READING GOODNG</t>
  </si>
  <si>
    <t>GOOD IN READING NEED TO CONCENTRATE</t>
  </si>
  <si>
    <t>GOOD IN FOOTBALL</t>
  </si>
  <si>
    <t>GOOD IN KHO KHO</t>
  </si>
  <si>
    <t>PERFORMING WELL NEED PRACTISE</t>
  </si>
  <si>
    <t xml:space="preserve"> EXCELENT IN UNDERSTANDING WHAT IS THE TOPIC ,AND GOOD IMAGINATION WHILE READING </t>
  </si>
  <si>
    <t>GOOD IN READING AND  GOOD UNDERSTANDER IN BOOKS ,,ENJOYS WHILE READING</t>
  </si>
  <si>
    <t xml:space="preserve">GOOD INTREST IN READING ALSO GOOD IMAGINATION OF STORIES,ENJOYS READING </t>
  </si>
  <si>
    <t>GOOD IN READING LIKES TO READ MYTHOLOGY STORIES</t>
  </si>
  <si>
    <t xml:space="preserve">NEED TO PAY ATTENTION </t>
  </si>
  <si>
    <t>BIT SLOW IN THE CLASS BUT PERFORMING WELL</t>
  </si>
  <si>
    <t>TAKING FRIENDS HELP TO COMPLETE THE TASK</t>
  </si>
  <si>
    <t>SIMPLIFYING THE CONTOUR WELL</t>
  </si>
  <si>
    <t>GOOD IN SHADING</t>
  </si>
  <si>
    <t>EVALUATING THE SHADING WELL</t>
  </si>
  <si>
    <t>GOOD IN SHADING CAN IMPROVE</t>
  </si>
  <si>
    <t>TRYING TO SIMPLIFY THE FIGURE</t>
  </si>
  <si>
    <t>UTILIZING THE LINES NEATLY</t>
  </si>
  <si>
    <t>INVOLVES ESTABLISHING A LIGHT SOURCE</t>
  </si>
  <si>
    <t>PROPORTION OF THE FIGURE IS ACCURATE AND NEAT</t>
  </si>
  <si>
    <t>GOOD IN SHOWING VARIATION IN TONE LIKE LIGHT &amp; MEDIUM</t>
  </si>
  <si>
    <t>GOOD IN VISUAL COMPONENTS</t>
  </si>
  <si>
    <t>NEED TO FOCUS ON VISUAL</t>
  </si>
  <si>
    <t>GOOD OBSERVATION SKILLS</t>
  </si>
  <si>
    <t>NEED TO REFINE THE FIGURE</t>
  </si>
  <si>
    <t>NEUTRAL PARTICEPATION</t>
  </si>
  <si>
    <t>DEPICTING THE RANGE OF VALUES FROM LIGHT TO SHADOW</t>
  </si>
  <si>
    <t>NEED MORE PRACTICE DOING WELL</t>
  </si>
  <si>
    <t>GOOD IN HOLIDING AND CONTRILLING THE PENCIL</t>
  </si>
  <si>
    <t>UTILIZING LINES AND TONES OF THE SURFACE TO CREATE THE IMAGE</t>
  </si>
  <si>
    <t>GOOD IN VISUAL  COMPONENTS LIKE COLOURING</t>
  </si>
  <si>
    <t>BUILDING UP VALUES AND CREATE SMOOTH SOFT EDGES</t>
  </si>
  <si>
    <t>HIGHLIGHTING TO CORE SHADOWS AND CASTE SHADOWS</t>
  </si>
  <si>
    <t>GOOD OBSERVATION SKILLS,GOOD IN SHADING</t>
  </si>
  <si>
    <t>GOOD IN SMOOTH OUT PENCIL STROKES</t>
  </si>
  <si>
    <t>NEUTRAL PARTICIPATION</t>
  </si>
  <si>
    <t>ILLUMINATES THE SHADOWED AREA OF THE OBJECT</t>
  </si>
  <si>
    <t>TRYING TO SIMPLFY THE DRAWING</t>
  </si>
  <si>
    <t>CLASS CANCELED</t>
  </si>
  <si>
    <t>BOMMASANI VINAY KUMAR</t>
  </si>
  <si>
    <t>SHAIK SANA</t>
  </si>
  <si>
    <t>B SRANYA</t>
  </si>
  <si>
    <t>MURAHARI VINUTHNA</t>
  </si>
  <si>
    <t>INTERESTED IN BIOLOGY</t>
  </si>
  <si>
    <t>INTERESTED IN BADMENTAN</t>
  </si>
  <si>
    <t>INTERESTED IN TYPING</t>
  </si>
  <si>
    <t>INTERESTED DRAWING FLOWERS</t>
  </si>
  <si>
    <t>INTERESTED IN HORROR BOOKS</t>
  </si>
  <si>
    <t>INTERESTED IN HINDI</t>
  </si>
  <si>
    <t>INTERESTED IN MORAL BOOKS</t>
  </si>
  <si>
    <t>INTERESTED IN TELUGU</t>
  </si>
  <si>
    <t>INTERESTED IN KHABADI</t>
  </si>
  <si>
    <t>INTERESTED IN CHARTOON DRAWINGS</t>
  </si>
  <si>
    <t>INTERESTED IN STORY BOOKS</t>
  </si>
  <si>
    <t>INTERESTED IN MATHS, HINDI</t>
  </si>
  <si>
    <t>INTERESTED IN BIOLOGY REPRODUC5TION IN PLANTS</t>
  </si>
  <si>
    <t>INTERESTED IN KHABADI &amp;  KHO-KHO</t>
  </si>
  <si>
    <t>INTERESTED ANIME DRAWINGS</t>
  </si>
  <si>
    <t>INTERESTED IN CRICKET</t>
  </si>
  <si>
    <t>INTERESTED IN GOD , ANIME PICTURES DRAWING</t>
  </si>
  <si>
    <t>INTERESTED IN MYTHOLOGY, &amp; CHARTOON BOOKS</t>
  </si>
  <si>
    <t>INTERESTED IN TELUGU, BIOLOGY</t>
  </si>
  <si>
    <t>INTERESTED IN KHO-KHO &amp; KHABADI</t>
  </si>
  <si>
    <t>INTERESTED IN STORY , NOVEL BOOKS</t>
  </si>
  <si>
    <t>INTERESTED IN ALL TYPES OF GAMES</t>
  </si>
  <si>
    <t xml:space="preserve">INTERESTED IN PENCILING, SHADING </t>
  </si>
  <si>
    <t>INTERESTED IN TYPING &amp; PICTURE CREATINGS, &amp; MOON LIGHT</t>
  </si>
  <si>
    <t>INTERESTED IN BIOLOGYI</t>
  </si>
  <si>
    <t>INTERESTED IN ANIME PICTURES DRAWING</t>
  </si>
  <si>
    <t>INTERESTED IN GOD PICTURES DRAWING</t>
  </si>
  <si>
    <t>INTERESTED IN MORAL STORY BOOKS</t>
  </si>
  <si>
    <t>INTERESTED IN FLOWERS PICTURES DRAWINGS</t>
  </si>
  <si>
    <t>INTERESTED IN MATHS</t>
  </si>
  <si>
    <t>INTERESTED IN RUNNING</t>
  </si>
  <si>
    <t>INTERESTED IN PAINTING</t>
  </si>
  <si>
    <t>INTERESTED IN COMICS BOOKS</t>
  </si>
  <si>
    <t>INTERESTED IN ANIME DRAWINGS</t>
  </si>
  <si>
    <t>INTERESTED IN BIOLOGY ESPECIALLY IN , REPRODUCTION IN ANIMALS</t>
  </si>
  <si>
    <t>INTERESTED IN NALL TYPES OF DRAWINGS</t>
  </si>
  <si>
    <t>NIRLAM SURYA THEJAS</t>
  </si>
  <si>
    <t>INTERESTED IN BASKET BALL</t>
  </si>
  <si>
    <t>INTERESTED IN ALL TYPES OF DRAWINGAS</t>
  </si>
  <si>
    <t>INTERESTED IN VALLEYBALL</t>
  </si>
  <si>
    <t>INTERESTED IN BIOLOGY, PHYSICS</t>
  </si>
  <si>
    <t>INTERESTED IN BIOLOGY ESPECIALLY IN MICRO ORGANISM,IN PHYSICS CHEMICAL EFFECTS &amp; MATHS</t>
  </si>
  <si>
    <t>INTERESTED IN RUNNING, FOODBALL</t>
  </si>
  <si>
    <t>INTERESTED IN CRICKET, SHUTTLE</t>
  </si>
  <si>
    <t>INTERESTED IN ANIME DRAWINGS ESPECIALLY IN [ NARUTO]</t>
  </si>
  <si>
    <t>INTERESTED IN VALLEY BALL</t>
  </si>
  <si>
    <t>INTERESTED IN ENGLISH</t>
  </si>
  <si>
    <t>INTERESTED IN EDITING</t>
  </si>
  <si>
    <t>INTERESTED IN SHUTTLE</t>
  </si>
  <si>
    <t>INTERESTED IN NATURE PICTURES DRAWING</t>
  </si>
  <si>
    <t>INTERESTED DRAWINGS IN COMPUTER</t>
  </si>
  <si>
    <t>INTERSTED IN TYPING</t>
  </si>
  <si>
    <t>INTERESTED IN STORY BOOKS LIKE ANIMALS ESPECIALLY</t>
  </si>
  <si>
    <t>INTERESTED IN BIOLOGY, PHYSICS ESPECIALLY IN MICRO ORGANISM</t>
  </si>
  <si>
    <t>PLAYING WELL SHUTTLE</t>
  </si>
  <si>
    <t>ANSWERING WELL ACTIVE PARTICEPATION</t>
  </si>
  <si>
    <t>GOOD IN SHADING CAN DO BETTER</t>
  </si>
  <si>
    <t>CROSSHATCHING EFFECT ON THE SURFACE</t>
  </si>
  <si>
    <t>DEPICTING THE RANGE OF VALUES FROME LIGHT SHADOW</t>
  </si>
  <si>
    <t>ILLUMINATES THE SHADOW AREA OF THE OBJECT</t>
  </si>
  <si>
    <t>ACTIVE PARTICEPATION NEED PRACTICE</t>
  </si>
  <si>
    <t>USING OVERLAPPING CIRCULAR STROKES</t>
  </si>
  <si>
    <t>AVERAGE PARTICEPATION</t>
  </si>
  <si>
    <t>USING PENCIL STROKES FOR EFFECTS</t>
  </si>
  <si>
    <t>DRAWING VERY REALISTIC PERFECT FINISHING</t>
  </si>
  <si>
    <t>HIGHLIGHTING THE CORE SHADOW</t>
  </si>
  <si>
    <t>DEVELOPING VOLUME AND DEPTH IN THE WORK</t>
  </si>
  <si>
    <t>LAYERING HATCHMARK AT DIFFERENT ANGLES</t>
  </si>
  <si>
    <t>NEED TO PRACTICE AVERAGE PARTICEPATION</t>
  </si>
  <si>
    <t>BLENDING DIMENSIONAL EFFECTS ON THE SURFACE</t>
  </si>
  <si>
    <t>SMOOTH FINISHING VERY CONCENTRATED</t>
  </si>
  <si>
    <t>AVERAGE PARTICEPATION NEED PRACTICE</t>
  </si>
  <si>
    <t>PERFORMING WELL NEED PRACTICE</t>
  </si>
  <si>
    <t>INTERESTED IN PHYSIC</t>
  </si>
  <si>
    <t>INTERESTED IN PLAYING CRICKET</t>
  </si>
  <si>
    <t>INTERESTED IN DRAWING CARTOON CHARATERS</t>
  </si>
  <si>
    <t>INTERESTED IN READING ADVENTURES&amp;HORROR BOOKS</t>
  </si>
  <si>
    <t>DRAWING WELL CARTOON PICTURES</t>
  </si>
  <si>
    <t>GOOD IN READING WITH CONCENTRATELY</t>
  </si>
  <si>
    <t>JUST PARTCIPATION</t>
  </si>
  <si>
    <t>AVERAGE INTERESTED</t>
  </si>
  <si>
    <t>GOOD IN READING, OBSERVATION DEEPLY READS</t>
  </si>
  <si>
    <t>GOOD IN READING BUT NEED TO FOCUS</t>
  </si>
  <si>
    <t>GOOD IN CONCENTRATION BUT NEED TO FOCUS</t>
  </si>
  <si>
    <t>NEUTRAL PARTCIPAATION</t>
  </si>
  <si>
    <t>GOOD IN READING BUT CAN BE IMPROVE</t>
  </si>
  <si>
    <t>NEUTRAL PARTCIPATION</t>
  </si>
  <si>
    <t>DOING GOOD NEED TO FOLLOW PROPER MEASUREMENT</t>
  </si>
  <si>
    <t>PROPORTION OF THE FIGURE IS ACCURATE</t>
  </si>
  <si>
    <t>GOOD IN PERFORMING NEED TO PRACTICE</t>
  </si>
  <si>
    <t>NEED TO FOCUS ON VISUAL COMPONENTS</t>
  </si>
  <si>
    <t>NEED TO REFINE THE FIGUIRE</t>
  </si>
  <si>
    <t>NEED TO REDUE THE PRESSURE ON THE PENCIL</t>
  </si>
  <si>
    <t xml:space="preserve">SIMPLIFYING THE SHAPE IS GOOD </t>
  </si>
  <si>
    <t>GOOD IN CREATING THE DEPTH AND VOLUME OF THE FIGURE</t>
  </si>
  <si>
    <t>DEPICTING THE RANGE OF THE VALUE OF THE FIGURE</t>
  </si>
  <si>
    <t>BUILDING GRADUAL TONAL TRASITION</t>
  </si>
  <si>
    <t>CREATING SMOOTH SOFT EDGES</t>
  </si>
  <si>
    <t>LAYERING HATCH MARKS AT DIFFERENT ANGLES</t>
  </si>
  <si>
    <t xml:space="preserve">GOOD IN CREATING A SERIES OF CONNECTED POINTS </t>
  </si>
  <si>
    <t>DOING GOOD NEED TO REDUCE THE PRESSURE ON PENCIL</t>
  </si>
  <si>
    <t>FOLLOWING THE MEASUREMENT CORRECTLY</t>
  </si>
  <si>
    <t xml:space="preserve">PROPORTION OF THE FIGURE IS ACCURATE </t>
  </si>
  <si>
    <t>CREATING DIMENSIONAL DEPTH ON THE SURFACE</t>
  </si>
  <si>
    <t>PERFORMING WELL NEED TO CHECK THE CURVES</t>
  </si>
  <si>
    <t>NEED TO REDUE THE PRESSURE OF THE PENCIL</t>
  </si>
  <si>
    <t>NEED TO RECHECK THE CURVES</t>
  </si>
  <si>
    <t>CONSTRUCTIVE BALANCE OF THE FIGURE IS GOOD</t>
  </si>
  <si>
    <t>REINFORCING ACTIONABLE AREA FOR IMPROVEMENT</t>
  </si>
  <si>
    <t>GOOD IN BALANCING POSITIVE REINFORCEMENT OF THE FIGURE</t>
  </si>
  <si>
    <t>NEED PRACTICING SIGHTING CAN HELP ACHIEVE BETTER ACCURACY</t>
  </si>
  <si>
    <t>EXPERIMENTING WITH VARYING LINE WEIGHTS TO GIVE DRAWING MORE DEPTH</t>
  </si>
  <si>
    <t xml:space="preserve">NEED TO FOCUS ON USING LONGER SMOOTHER MOTION </t>
  </si>
  <si>
    <t>CREATING REALISTIC DEPTH IN THE FIGURE</t>
  </si>
  <si>
    <t>NEED TO MENTION THE HORIZONTAL LINES</t>
  </si>
  <si>
    <t>FOLLOWING VERTICAL&amp;HORIZONTAL LINES</t>
  </si>
  <si>
    <t>USING CORRECT MEASUREMENT</t>
  </si>
  <si>
    <t xml:space="preserve">NEED TO CHECK THE CURVES </t>
  </si>
  <si>
    <t>DEVELOPING THE DEPTH OF FIGURE IS GOOD</t>
  </si>
  <si>
    <t>NEED TO REDUCE THE PRESSURE OF THE PENCIL</t>
  </si>
  <si>
    <t>CREATING THE DIMENSIONAL DEPTH ON THE SURFACE</t>
  </si>
  <si>
    <t>DIMPLIFYING THE SHAPE OF THE FIGURE NEATLY</t>
  </si>
  <si>
    <t>GOOD OBSERVATION PERFORMING WELL</t>
  </si>
  <si>
    <t>NEED TO DFRAW VERTICAL LINES FOR BETTER FIGURE</t>
  </si>
  <si>
    <t xml:space="preserve">  NEED TO IMPROVE IN PRONOUNCATION ,CAN IMPROVE WELL</t>
  </si>
  <si>
    <t>HAD A GOOD COMMUNICATION SKILLS BUT NEED TO IMPROVE IN VOCABULARY</t>
  </si>
  <si>
    <t>NEED TO  IMPROVE CONCENTRACTION</t>
  </si>
  <si>
    <t>INTERRESTED IN READING (COMIC)BOOKS,BUT NEED TO FOCUS</t>
  </si>
  <si>
    <t>AVERAGE PERFORFMANCE</t>
  </si>
  <si>
    <t>GOOD IN READING BUUT NEED TO FOCUS IN VOCABULARY</t>
  </si>
  <si>
    <t>INTERRESTED IN NEWS PAPER READING,BUT NEED TO FOCUS</t>
  </si>
  <si>
    <t>INTERESTED IN READING ,BUT NEED TO FOCUS IN PARAGRAPH</t>
  </si>
  <si>
    <t xml:space="preserve">INTERESTED IN READING, BIT CONFUSED IN  THE SPELL &amp;PRONOUNCATION                                                                                                                                                               </t>
  </si>
  <si>
    <t xml:space="preserve"> NEED TO FOCUS IN READING</t>
  </si>
  <si>
    <t xml:space="preserve">NEED TO  IMPROVE CONCENTRACTION,GOOD AT READING </t>
  </si>
  <si>
    <t>NEED TO IMPROV IN PARAGRAPH READING</t>
  </si>
  <si>
    <t xml:space="preserve">INTERESTED IN NEWPAPER READING, CAN PERFORM WELL                                                                                                                                                              </t>
  </si>
  <si>
    <t>NEED TO PERFORM WELL</t>
  </si>
  <si>
    <t xml:space="preserve">INTERESTED IN (COMIC) STORIES,NEED TO FOCUS                                                                                                                                                      </t>
  </si>
  <si>
    <t>NEED TO PARTICE ON VOCABULARY,INTERESTED IN READING BOOKS</t>
  </si>
  <si>
    <t xml:space="preserve">INTERESTED IN READING(HORROR)STORIES </t>
  </si>
  <si>
    <t>Week (29/12/25)</t>
  </si>
  <si>
    <t>INTERESTED IN NEWS PAPER READING,EXPLANING ABOUT SPORTS</t>
  </si>
  <si>
    <t>WELL EXPLAINED&amp;CONFIDENT AT SYING,BUT NEED TO IMPROVE VOCABULARY</t>
  </si>
  <si>
    <t>NEED TO FOCUSED,GOOD AT EXPLANATION,CAN IMPROVE IN BUILDING STORY LINE</t>
  </si>
  <si>
    <t>UNABLE TO BUILD THE STORY LINE ,GOOD AT VOCAUALRY,NEED TO FOCUSED</t>
  </si>
  <si>
    <t>WELL AT EXPLANATION,DISTRACTED, NEED TO TO IMPROVE IN READING</t>
  </si>
  <si>
    <t>WELL&amp;CONFIDENT HAD A CLEAR ATEXPLNATION,NEED TO IMPROVE VOCABULARY</t>
  </si>
  <si>
    <t>INTERESTED IN READING , BUT CAN'T BUILD THE LINES NEED TO  PRATICE IN PARAGRAPH READING</t>
  </si>
  <si>
    <t>TRYING TO FIGURE THE OUT FINE LINES,NEED TO FOCUS IN IN BUILDING STORY LINES</t>
  </si>
  <si>
    <t>INTERESTED IN READING ,NEED TO BE FOCUSED</t>
  </si>
  <si>
    <t>WELL NEED TO PERFORM,BUT NEED TO IMPROVE IN STORY LINE//</t>
  </si>
  <si>
    <t>PERFORM AND READ PROPERLY,BUT NEED TO BUILD IN BUILDING IN STORY LINE</t>
  </si>
  <si>
    <t>INTERESTED IN NEWS PAPER READING,NEED TO BE FOCUSED</t>
  </si>
  <si>
    <t xml:space="preserve">CAN CAPABLE IN READING,BUT NEED TO FOCUSED ,DISTRACTEED </t>
  </si>
  <si>
    <t>AVEREAGE PARTICIPATION,LIKELY NOT INTRESTED IN READING</t>
  </si>
  <si>
    <t>GOOD  AT EXPLANATION ,CAN IMPROVE IN BUILDING STORY CONFIDENT IN READING</t>
  </si>
  <si>
    <t>INTERESTED IN READING,NEED TO IMPROVE IN VOCABULARY&amp;IN STORY LINES</t>
  </si>
  <si>
    <t>INTERESTED IN READING, STORY LINE&amp;EXPLANTIION IS VERY CLEAR</t>
  </si>
  <si>
    <t>INTERESTED IN TELUGU POERTY,NEED TO IMPROVE EXPLANATION</t>
  </si>
  <si>
    <t>NEED TO BE FOCUSED,BIT CONFUSED,GOING THROUGH PICTURE</t>
  </si>
  <si>
    <t>INTERESTED IN TELUGU POERTY,BUT CAN'T FORM A STORY LINE NEED TO BE FOCUSED</t>
  </si>
  <si>
    <t>INTERESTED IN READING BUT DISTRACTED BUT CAN FORM ALINE NEED TO BE IMPROVED</t>
  </si>
  <si>
    <t>INTERESTED IN (HORROR) STORIES ,WELL&amp;CLARITY IN EXPLANATION</t>
  </si>
  <si>
    <t>CAN PERFORM WELL,BUT CAN'T FORM A LINE ,VERY CONFUSED YETNEED TO IMPROVE</t>
  </si>
  <si>
    <t>GOOD AT VOCABULARY,CAN' FORM A LINE&amp;BUILD UP STORY,FOCUSED AT READING</t>
  </si>
  <si>
    <t>INRERESED IN MORAL STORIES,CLEAR AND CLARITY IN READING,NEED TO IMPROVE VOCABULARY</t>
  </si>
  <si>
    <t>Feedback(29/12/25)</t>
  </si>
  <si>
    <t>INTERESTED IN CRICKET,VOLLEYBALL,&amp;FOOTBALL EVEN TOOK GYMINASTIC CLASS INTERESTED TO LEARN MORE BUT PARENTS NOT COOPERATING</t>
  </si>
  <si>
    <t>KNOWS BASIC SKILLS AND TYPING DAILY PRACTICE AT HOME 1HOUR</t>
  </si>
  <si>
    <t>PREFER COMIC BOOKS TO READ INTERESTED IN READING NEWSPAPER FOLLOWS SPORTS COLOUM KNOW ABOUT STOCK MARKET FOLLOWS REGULAR UPDATES</t>
  </si>
  <si>
    <t>INTERESTED IN FOOTBALL&amp;RUNNING</t>
  </si>
  <si>
    <t>BASIC SKILLS LIKE TYPING</t>
  </si>
  <si>
    <t>PREFER TO READ ANIMATION BOOKS AND ALSO WANT TO IMPROVE VOCABULARY THROUGH READING BOOKS</t>
  </si>
  <si>
    <t>INTERESTED IN VOLLEYBALL,FOOTBALL&amp;CRICKET</t>
  </si>
  <si>
    <t>JUST LEARNING BASIC SKILLS</t>
  </si>
  <si>
    <t>PREFER TO READ PANCHATRANTRA STORIES</t>
  </si>
  <si>
    <t>INTERESTED IN CRICKET PREFER TO PLAY BATTING &amp;KEEPING</t>
  </si>
  <si>
    <t>GOOD OBSERVATION</t>
  </si>
  <si>
    <t>PREFER TO READ ABOUT MIGHTY HEROES&amp; KINGS STORIES</t>
  </si>
  <si>
    <t>INTERESTED IN CRICKET LIKES TO PLAY FEILDING</t>
  </si>
  <si>
    <t>INTERESTED IN PHOTO EDITING &amp;TYPING</t>
  </si>
  <si>
    <t>SHOWING WILLINGNESS IN DRAWING</t>
  </si>
  <si>
    <t xml:space="preserve">PREFER TO READ ANIMATION BOOKS </t>
  </si>
  <si>
    <t>INTERESTED IN FOOTBALL&amp;PARTICIPATED IN RUNNING ALSO</t>
  </si>
  <si>
    <t>PREFER TO READ ALL KIND OF BOOKS</t>
  </si>
  <si>
    <t>INTERESTED IN BADMINTON &amp;PARTICIPATED IN RUNNING ALSO</t>
  </si>
  <si>
    <t>PREFER MORAL STORIES FROM PANCHATANTRA &amp;ACTION STORIES HAVING LIBRARYMEMBERSHIP SO DAILY NIGHT SPEND TIME ON READING BOOKS</t>
  </si>
  <si>
    <t>INTERESTED IN THROWBALL,FOOTBALL&amp;BADMINTON</t>
  </si>
  <si>
    <t>INTERESTED IN PHOTO EDITING</t>
  </si>
  <si>
    <t>PREFER TO READ ACTION BOOKS</t>
  </si>
  <si>
    <t>INTERESTED IN CRICKET LIKE TO PLAY BATTING</t>
  </si>
  <si>
    <t>PREFER TO READ COMIC BOOKS,LIKES TO READ BOOKS AT NIGHT AT BED TIME</t>
  </si>
  <si>
    <t>INTERESTED IN CRICKET LIKES TO PLAY BATTING&amp;BOWLING</t>
  </si>
  <si>
    <t>LEARNING PHOTO EDITING</t>
  </si>
  <si>
    <t>PREFER TO READ ANIMATION BOOKS</t>
  </si>
  <si>
    <t>INTERESTED IN VOLLEYBALL&amp;CRICKET LIKES TO PLAY BATTING</t>
  </si>
  <si>
    <t>PREFER ALL KIND OF BOOKS TO READ</t>
  </si>
  <si>
    <t>INTERESTED IN PLAYING THROWBALL,KHABADI</t>
  </si>
  <si>
    <t>LEARNING BASIC SKILLS LIKE TYPING</t>
  </si>
  <si>
    <t>SHOWING PROGRESS IN DRAWING</t>
  </si>
  <si>
    <t>PREFER TO READ MORAL STORIES</t>
  </si>
  <si>
    <t>INTERESTED IN KHABADI&amp; PARTICIPATED IN 100MTS RUNNING RACE WON 2ND PRIZE</t>
  </si>
  <si>
    <t>PREFER TO READ TELUGU NEETHI KATHALU</t>
  </si>
  <si>
    <t xml:space="preserve">INTERESTED IN THROWBALL,KHOKHO,BADMINTON &amp; RUNNER IN KHABADI </t>
  </si>
  <si>
    <t>PREFER TELUGU STORY BOOKS TO READ</t>
  </si>
  <si>
    <t>INTERESTED IN THROWBALL,BADMINTON LIKES TO PLAY CRICKET DAILY PLAYSBATTING FOR 1HOUR NEAR HOME</t>
  </si>
  <si>
    <t>PREFER COMIC BOOKS&amp;DEVOTIONAL BOOKS ALSO TO RFEAD TO LEARN ABOUT CULTURE</t>
  </si>
  <si>
    <t>INTERESTED IN KHABADI,KHOKHO,THROWBALL&amp;PARTICIPATED IN 100MTS&amp;200MTS RUNNING RACE WON 1SR PRIZE</t>
  </si>
  <si>
    <t>PREFER TO READ TELUGU STORY BOOKS</t>
  </si>
  <si>
    <t>INTERESTED IN THROWBALL,KHOKHO,KHABADI</t>
  </si>
  <si>
    <t>PREFER TO READ FAIRY TALES</t>
  </si>
  <si>
    <t xml:space="preserve">PREFER TO READ HORROR STORIES </t>
  </si>
  <si>
    <t>PREFER MORAL STORIES TO READ</t>
  </si>
  <si>
    <t>INTERESTED IN FOOTBALL&amp;VOLLEYBALL</t>
  </si>
  <si>
    <t>INTERESTED IN FOOTBALL,VOLLEYBALL&amp;RUNNING</t>
  </si>
  <si>
    <t>PREFER TO READ COMIC BOOKS</t>
  </si>
  <si>
    <t>INTERESTED IN FOOTBALL&amp;CRICKET LIKES TO PLAY BATTING</t>
  </si>
  <si>
    <t>PREFER ANIMATION BOOKS TO READ</t>
  </si>
  <si>
    <t>INTERESTED IN FOOTBALL</t>
  </si>
  <si>
    <t>PREFER PANCHATANTRA STORIES TO READ</t>
  </si>
  <si>
    <t>PREFER COMIC BOOKS TO READ</t>
  </si>
  <si>
    <t>INTERESTED IN KHO KHO,KHABADI</t>
  </si>
  <si>
    <t>PREFER DEVOTIONAL BOOKS IN TELUGU TO READ</t>
  </si>
  <si>
    <t>INTERESTED IN FOLLOWING STOCK MARKET REGULARLY FOLLOWS THE UPDATES</t>
  </si>
  <si>
    <t xml:space="preserve">G JAI SREE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</si>
</sst>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Consolas"/>
      <family val="3"/>
    </font>
    <font>
      <sz val="8"/>
      <name val="Aptos Narrow"/>
      <family val="2"/>
      <scheme val="minor"/>
    </font>
  </fonts>
  <fills count="18">
    <fill>
      <patternFill patternType="none"/>
    </fill>
    <fill>
      <patternFill patternType="gray125"/>
    </fill>
    <fill>
      <patternFill patternType="solid">
        <fgColor theme="5"/>
        <bgColor indexed="64"/>
      </patternFill>
    </fill>
    <fill>
      <patternFill patternType="solid">
        <fgColor theme="8" tint="-0.249977111117893"/>
        <bgColor indexed="64"/>
      </patternFill>
    </fill>
    <fill>
      <patternFill patternType="solid">
        <fgColor rgb="FF7030A0"/>
        <bgColor indexed="64"/>
      </patternFill>
    </fill>
    <fill>
      <patternFill patternType="solid">
        <fgColor theme="9"/>
        <bgColor indexed="64"/>
      </patternFill>
    </fill>
    <fill>
      <patternFill patternType="solid">
        <fgColor theme="4" tint="0.79998168889431442"/>
        <bgColor indexed="64"/>
      </patternFill>
    </fill>
    <fill>
      <patternFill patternType="solid">
        <fgColor rgb="FF9966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2" fillId="2" borderId="1" xfId="0" applyFont="1" applyFill="1" applyBorder="1" applyAlignment="1">
      <alignment horizontal="center" vertical="center"/>
    </xf>
    <xf numFmtId="0" fontId="2" fillId="3" borderId="1" xfId="0" applyFont="1" applyFill="1" applyBorder="1"/>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0" borderId="1" xfId="0" applyBorder="1" applyAlignment="1">
      <alignment horizontal="center"/>
    </xf>
    <xf numFmtId="0" fontId="1" fillId="0" borderId="1" xfId="1" applyBorder="1" applyAlignment="1">
      <alignment horizontal="center"/>
    </xf>
    <xf numFmtId="0" fontId="0" fillId="0" borderId="0" xfId="0" applyAlignment="1">
      <alignment horizontal="left" vertical="top" wrapText="1"/>
    </xf>
    <xf numFmtId="0" fontId="0" fillId="0" borderId="1" xfId="0" applyBorder="1"/>
    <xf numFmtId="0" fontId="0" fillId="0" borderId="1" xfId="0" applyBorder="1" applyAlignment="1">
      <alignment wrapText="1"/>
    </xf>
    <xf numFmtId="0" fontId="4" fillId="0" borderId="1" xfId="0" applyFont="1" applyBorder="1" applyAlignment="1">
      <alignment horizontal="left" vertical="center"/>
    </xf>
    <xf numFmtId="0" fontId="0" fillId="0" borderId="5" xfId="0" applyBorder="1" applyAlignment="1">
      <alignment horizontal="center"/>
    </xf>
    <xf numFmtId="0" fontId="0" fillId="10" borderId="1" xfId="0" applyFill="1" applyBorder="1" applyAlignment="1">
      <alignment horizontal="center"/>
    </xf>
    <xf numFmtId="0" fontId="0" fillId="0" borderId="0" xfId="0" applyAlignment="1">
      <alignment horizontal="center"/>
    </xf>
    <xf numFmtId="0" fontId="0" fillId="11" borderId="1" xfId="0" applyFill="1" applyBorder="1" applyAlignment="1">
      <alignment horizontal="center"/>
    </xf>
    <xf numFmtId="0" fontId="0" fillId="0" borderId="1" xfId="0" applyBorder="1" applyAlignment="1">
      <alignment horizontal="left"/>
    </xf>
    <xf numFmtId="0" fontId="3" fillId="6" borderId="1" xfId="0" applyFont="1" applyFill="1" applyBorder="1" applyAlignment="1">
      <alignment vertical="center" wrapText="1"/>
    </xf>
    <xf numFmtId="0" fontId="0" fillId="0" borderId="3" xfId="0" applyBorder="1"/>
    <xf numFmtId="0" fontId="0" fillId="0" borderId="3" xfId="0" applyBorder="1" applyAlignment="1">
      <alignment horizontal="center"/>
    </xf>
    <xf numFmtId="0" fontId="0" fillId="11" borderId="1" xfId="0" applyFill="1" applyBorder="1"/>
    <xf numFmtId="0" fontId="0" fillId="12" borderId="1" xfId="0" applyFill="1" applyBorder="1"/>
    <xf numFmtId="0" fontId="0" fillId="13" borderId="1" xfId="0" applyFill="1" applyBorder="1" applyAlignment="1">
      <alignment horizontal="center"/>
    </xf>
    <xf numFmtId="0" fontId="0" fillId="12" borderId="1" xfId="0" applyFill="1" applyBorder="1" applyAlignment="1">
      <alignment horizontal="center"/>
    </xf>
    <xf numFmtId="0" fontId="0" fillId="14" borderId="1" xfId="0" applyFill="1" applyBorder="1"/>
    <xf numFmtId="0" fontId="0" fillId="15" borderId="1" xfId="0" applyFill="1" applyBorder="1"/>
    <xf numFmtId="0" fontId="0" fillId="16" borderId="1" xfId="0" applyFill="1" applyBorder="1"/>
    <xf numFmtId="0" fontId="0" fillId="17" borderId="1" xfId="0" applyFill="1" applyBorder="1"/>
    <xf numFmtId="0" fontId="0" fillId="8" borderId="1" xfId="0" applyFill="1" applyBorder="1"/>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2" fillId="3" borderId="1" xfId="0" applyFont="1" applyFill="1" applyBorder="1" applyAlignment="1">
      <alignment horizont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5" borderId="1" xfId="0" applyFont="1" applyFill="1" applyBorder="1" applyAlignment="1">
      <alignment horizontal="center"/>
    </xf>
  </cellXfs>
  <cellStyles count="2">
    <cellStyle name="Normal" xfId="0" builtinId="0"/>
    <cellStyle name="Normal 2" xfId="1" xr:uid="{B9720C1F-72EF-4929-A89A-41ED133CBE43}"/>
  </cellStyles>
  <dxfs count="87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7953-386E-4EC5-B5C6-7D4B85A51A58}">
  <dimension ref="A1:BR230"/>
  <sheetViews>
    <sheetView tabSelected="1" topLeftCell="A124" zoomScale="88" workbookViewId="0">
      <selection activeCell="A147" sqref="A147:A152"/>
    </sheetView>
  </sheetViews>
  <sheetFormatPr defaultRowHeight="14.25" x14ac:dyDescent="0.45"/>
  <cols>
    <col min="1" max="1" width="29.59765625" bestFit="1" customWidth="1"/>
    <col min="2" max="2" width="13.265625" customWidth="1"/>
    <col min="3" max="3" width="11.73046875" bestFit="1" customWidth="1"/>
    <col min="4" max="4" width="106.59765625" customWidth="1"/>
    <col min="5" max="5" width="10.73046875" customWidth="1"/>
    <col min="6" max="6" width="77.06640625" customWidth="1"/>
    <col min="8" max="8" width="67" customWidth="1"/>
    <col min="10" max="10" width="47.265625" customWidth="1"/>
    <col min="12" max="12" width="79.46484375" customWidth="1"/>
    <col min="14" max="14" width="52" customWidth="1"/>
    <col min="16" max="16" width="65.265625" customWidth="1"/>
    <col min="18" max="18" width="65.9296875" customWidth="1"/>
    <col min="20" max="20" width="79.59765625" customWidth="1"/>
    <col min="22" max="22" width="139.19921875" customWidth="1"/>
    <col min="60" max="60" width="94.6640625" customWidth="1"/>
  </cols>
  <sheetData>
    <row r="1" spans="1:70" x14ac:dyDescent="0.45">
      <c r="A1" s="1" t="s">
        <v>70</v>
      </c>
      <c r="B1" s="2"/>
      <c r="C1" s="35" t="s">
        <v>0</v>
      </c>
      <c r="D1" s="35"/>
      <c r="E1" s="34" t="s">
        <v>1</v>
      </c>
      <c r="F1" s="34"/>
      <c r="G1" s="34" t="s">
        <v>2</v>
      </c>
      <c r="H1" s="34"/>
      <c r="I1" s="34" t="s">
        <v>3</v>
      </c>
      <c r="J1" s="34"/>
      <c r="K1" s="34" t="s">
        <v>4</v>
      </c>
      <c r="L1" s="34"/>
      <c r="M1" s="34" t="s">
        <v>5</v>
      </c>
      <c r="N1" s="34"/>
      <c r="O1" s="34" t="s">
        <v>6</v>
      </c>
      <c r="P1" s="34"/>
      <c r="Q1" s="34" t="s">
        <v>7</v>
      </c>
      <c r="R1" s="34"/>
      <c r="S1" s="34" t="s">
        <v>309</v>
      </c>
      <c r="T1" s="34"/>
      <c r="U1" s="34" t="s">
        <v>8</v>
      </c>
      <c r="V1" s="34"/>
      <c r="W1" s="34" t="s">
        <v>9</v>
      </c>
      <c r="X1" s="34"/>
      <c r="Y1" s="34" t="s">
        <v>10</v>
      </c>
      <c r="Z1" s="34"/>
      <c r="AA1" s="34" t="s">
        <v>11</v>
      </c>
      <c r="AB1" s="34"/>
      <c r="AC1" s="34" t="s">
        <v>12</v>
      </c>
      <c r="AD1" s="34"/>
      <c r="AE1" s="34" t="s">
        <v>13</v>
      </c>
      <c r="AF1" s="34"/>
      <c r="AG1" s="34" t="s">
        <v>14</v>
      </c>
      <c r="AH1" s="34"/>
      <c r="AI1" s="34" t="s">
        <v>15</v>
      </c>
      <c r="AJ1" s="34"/>
      <c r="AK1" s="34" t="s">
        <v>16</v>
      </c>
      <c r="AL1" s="34"/>
      <c r="AM1" s="34" t="s">
        <v>17</v>
      </c>
      <c r="AN1" s="34"/>
      <c r="AO1" s="34" t="s">
        <v>18</v>
      </c>
      <c r="AP1" s="34"/>
      <c r="AQ1" s="34" t="s">
        <v>19</v>
      </c>
      <c r="AR1" s="34"/>
      <c r="AS1" s="34" t="s">
        <v>20</v>
      </c>
      <c r="AT1" s="34"/>
      <c r="AU1" s="34" t="s">
        <v>21</v>
      </c>
      <c r="AV1" s="34"/>
      <c r="AW1" s="34" t="s">
        <v>22</v>
      </c>
      <c r="AX1" s="34"/>
      <c r="AY1" s="34" t="s">
        <v>23</v>
      </c>
      <c r="AZ1" s="34"/>
      <c r="BA1" s="34" t="s">
        <v>24</v>
      </c>
      <c r="BB1" s="34"/>
      <c r="BC1" s="34" t="s">
        <v>25</v>
      </c>
      <c r="BD1" s="34"/>
      <c r="BE1" s="34" t="s">
        <v>26</v>
      </c>
      <c r="BF1" s="34"/>
      <c r="BG1" s="34" t="s">
        <v>27</v>
      </c>
      <c r="BH1" s="34"/>
      <c r="BI1" s="34" t="s">
        <v>28</v>
      </c>
      <c r="BJ1" s="34"/>
      <c r="BK1" s="36" t="s">
        <v>29</v>
      </c>
      <c r="BL1" s="36"/>
      <c r="BM1" s="37" t="s">
        <v>30</v>
      </c>
      <c r="BN1" s="37"/>
      <c r="BO1" s="37" t="s">
        <v>31</v>
      </c>
      <c r="BP1" s="37"/>
      <c r="BQ1" s="37" t="s">
        <v>32</v>
      </c>
      <c r="BR1" s="37"/>
    </row>
    <row r="2" spans="1:70" ht="14.35" customHeight="1" x14ac:dyDescent="0.45">
      <c r="A2" s="3" t="s">
        <v>33</v>
      </c>
      <c r="B2" s="3" t="s">
        <v>34</v>
      </c>
      <c r="C2" s="4" t="s">
        <v>35</v>
      </c>
      <c r="D2" s="4" t="s">
        <v>36</v>
      </c>
      <c r="E2" s="4" t="s">
        <v>35</v>
      </c>
      <c r="F2" s="19" t="s">
        <v>36</v>
      </c>
      <c r="G2" s="4" t="s">
        <v>35</v>
      </c>
      <c r="H2" s="19" t="s">
        <v>36</v>
      </c>
      <c r="I2" s="4" t="s">
        <v>35</v>
      </c>
      <c r="J2" s="4" t="s">
        <v>36</v>
      </c>
      <c r="K2" s="4" t="s">
        <v>35</v>
      </c>
      <c r="L2" s="4" t="s">
        <v>36</v>
      </c>
      <c r="M2" s="4" t="s">
        <v>35</v>
      </c>
      <c r="N2" s="4" t="s">
        <v>36</v>
      </c>
      <c r="O2" s="4" t="s">
        <v>35</v>
      </c>
      <c r="P2" s="4" t="s">
        <v>36</v>
      </c>
      <c r="Q2" s="4" t="s">
        <v>35</v>
      </c>
      <c r="R2" s="4" t="s">
        <v>335</v>
      </c>
      <c r="S2" s="4" t="s">
        <v>35</v>
      </c>
      <c r="T2" s="4" t="s">
        <v>36</v>
      </c>
      <c r="U2" s="4" t="s">
        <v>35</v>
      </c>
      <c r="V2" s="4" t="s">
        <v>36</v>
      </c>
      <c r="W2" s="4" t="s">
        <v>35</v>
      </c>
      <c r="X2" s="4" t="s">
        <v>36</v>
      </c>
      <c r="Y2" s="4" t="s">
        <v>35</v>
      </c>
      <c r="Z2" s="4" t="s">
        <v>36</v>
      </c>
      <c r="AA2" s="4" t="s">
        <v>35</v>
      </c>
      <c r="AB2" s="4" t="s">
        <v>36</v>
      </c>
      <c r="AC2" s="4" t="s">
        <v>35</v>
      </c>
      <c r="AD2" s="4" t="s">
        <v>36</v>
      </c>
      <c r="AE2" s="4" t="s">
        <v>35</v>
      </c>
      <c r="AF2" s="4" t="s">
        <v>36</v>
      </c>
      <c r="AG2" s="4" t="s">
        <v>35</v>
      </c>
      <c r="AH2" s="4" t="s">
        <v>36</v>
      </c>
      <c r="AI2" s="4" t="s">
        <v>35</v>
      </c>
      <c r="AJ2" s="4" t="s">
        <v>36</v>
      </c>
      <c r="AK2" s="4" t="s">
        <v>35</v>
      </c>
      <c r="AL2" s="4" t="s">
        <v>36</v>
      </c>
      <c r="AM2" s="4" t="s">
        <v>35</v>
      </c>
      <c r="AN2" s="4" t="s">
        <v>36</v>
      </c>
      <c r="AO2" s="4" t="s">
        <v>35</v>
      </c>
      <c r="AP2" s="4" t="s">
        <v>36</v>
      </c>
      <c r="AQ2" s="4" t="s">
        <v>35</v>
      </c>
      <c r="AR2" s="4" t="s">
        <v>36</v>
      </c>
      <c r="AS2" s="4" t="s">
        <v>35</v>
      </c>
      <c r="AT2" s="4" t="s">
        <v>36</v>
      </c>
      <c r="AU2" s="4" t="s">
        <v>35</v>
      </c>
      <c r="AV2" s="4" t="s">
        <v>36</v>
      </c>
      <c r="AW2" s="4" t="s">
        <v>35</v>
      </c>
      <c r="AX2" s="4" t="s">
        <v>36</v>
      </c>
      <c r="AY2" s="4" t="s">
        <v>35</v>
      </c>
      <c r="AZ2" s="4" t="s">
        <v>36</v>
      </c>
      <c r="BA2" s="4" t="s">
        <v>35</v>
      </c>
      <c r="BB2" s="4" t="s">
        <v>36</v>
      </c>
      <c r="BC2" s="4" t="s">
        <v>35</v>
      </c>
      <c r="BD2" s="4" t="s">
        <v>36</v>
      </c>
      <c r="BE2" s="4" t="s">
        <v>35</v>
      </c>
      <c r="BF2" s="4" t="s">
        <v>36</v>
      </c>
      <c r="BG2" s="4" t="s">
        <v>35</v>
      </c>
      <c r="BH2" s="4" t="s">
        <v>36</v>
      </c>
      <c r="BI2" s="4" t="s">
        <v>35</v>
      </c>
      <c r="BJ2" s="4" t="s">
        <v>36</v>
      </c>
      <c r="BK2" s="5" t="s">
        <v>37</v>
      </c>
      <c r="BL2" s="6" t="s">
        <v>38</v>
      </c>
      <c r="BM2" s="7" t="s">
        <v>35</v>
      </c>
      <c r="BN2" s="7" t="s">
        <v>36</v>
      </c>
      <c r="BO2" s="7" t="s">
        <v>35</v>
      </c>
      <c r="BP2" s="7" t="s">
        <v>36</v>
      </c>
      <c r="BQ2" s="7" t="s">
        <v>35</v>
      </c>
      <c r="BR2" s="7" t="s">
        <v>36</v>
      </c>
    </row>
    <row r="3" spans="1:70" ht="14.35" customHeight="1" x14ac:dyDescent="0.45">
      <c r="A3" s="31" t="s">
        <v>45</v>
      </c>
      <c r="B3" s="8" t="s">
        <v>39</v>
      </c>
      <c r="C3" s="9"/>
      <c r="D3" s="10"/>
      <c r="E3" s="8"/>
      <c r="F3" s="11"/>
      <c r="G3" s="8"/>
      <c r="H3" s="11"/>
      <c r="I3" s="8"/>
      <c r="J3" s="11"/>
      <c r="K3" s="15">
        <v>65</v>
      </c>
      <c r="L3" s="11" t="s">
        <v>197</v>
      </c>
      <c r="M3" s="8"/>
      <c r="N3" s="11"/>
      <c r="O3" s="11"/>
      <c r="P3" s="11"/>
      <c r="Q3" s="11"/>
      <c r="R3" s="11"/>
      <c r="S3" s="11"/>
      <c r="T3" s="11"/>
      <c r="U3" s="11"/>
      <c r="V3" s="11"/>
      <c r="W3" s="11"/>
      <c r="X3" s="11"/>
      <c r="Y3" s="11"/>
      <c r="Z3" s="11"/>
      <c r="AA3" s="11"/>
      <c r="AB3" s="11"/>
      <c r="AC3" s="11"/>
      <c r="AD3" s="11"/>
      <c r="AE3" s="11"/>
      <c r="AF3" s="11"/>
      <c r="AG3" s="11"/>
      <c r="AH3" s="8"/>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8">
        <f t="shared" ref="BK3" si="0">IFERROR(AVERAGEIF(C3:BI3,"&lt;&gt;nill"), "")</f>
        <v>65</v>
      </c>
      <c r="BL3" s="12" t="str" cm="1">
        <f t="array" ref="BL3">_xlfn.TEXTJOIN(" ", TRUE, _xlfn._xlws.FILTER(C3:BJ3, MOD(COLUMN(C3:BJ3)-COLUMN(BN3),2)=0))</f>
        <v>INTERESTED IN MATHS</v>
      </c>
      <c r="BM3" s="8"/>
      <c r="BN3" s="13"/>
      <c r="BO3" s="8"/>
      <c r="BP3" s="13"/>
      <c r="BQ3" s="8"/>
      <c r="BR3" s="13"/>
    </row>
    <row r="4" spans="1:70" ht="14.35" customHeight="1" x14ac:dyDescent="0.45">
      <c r="A4" s="32"/>
      <c r="B4" s="8" t="s">
        <v>40</v>
      </c>
      <c r="C4" s="8">
        <v>50</v>
      </c>
      <c r="D4" s="11" t="s">
        <v>104</v>
      </c>
      <c r="E4" s="15">
        <v>65</v>
      </c>
      <c r="F4" s="11" t="s">
        <v>104</v>
      </c>
      <c r="G4" s="8">
        <v>75</v>
      </c>
      <c r="H4" s="11" t="s">
        <v>127</v>
      </c>
      <c r="I4" s="22">
        <v>85</v>
      </c>
      <c r="J4" s="11" t="s">
        <v>222</v>
      </c>
      <c r="K4" s="8">
        <v>75</v>
      </c>
      <c r="L4" s="11" t="s">
        <v>207</v>
      </c>
      <c r="M4" s="17">
        <v>85</v>
      </c>
      <c r="N4" s="11" t="s">
        <v>222</v>
      </c>
      <c r="O4" s="11"/>
      <c r="P4" s="11"/>
      <c r="Q4" s="11"/>
      <c r="R4" s="11"/>
      <c r="S4" s="11"/>
      <c r="T4" s="11"/>
      <c r="U4" s="26">
        <v>85</v>
      </c>
      <c r="V4" s="11" t="s">
        <v>354</v>
      </c>
      <c r="W4" s="11"/>
      <c r="X4" s="11"/>
      <c r="Y4" s="11"/>
      <c r="Z4" s="11"/>
      <c r="AA4" s="11"/>
      <c r="AB4" s="11"/>
      <c r="AC4" s="11"/>
      <c r="AD4" s="11"/>
      <c r="AE4" s="11"/>
      <c r="AF4" s="11"/>
      <c r="AG4" s="11"/>
      <c r="AH4" s="8"/>
      <c r="AI4" s="11"/>
      <c r="AJ4" s="11"/>
      <c r="AK4" s="11"/>
      <c r="AL4" s="11"/>
      <c r="AM4" s="11"/>
      <c r="AN4" s="11"/>
      <c r="AO4" s="11"/>
      <c r="AP4" s="11"/>
      <c r="AQ4" s="11"/>
      <c r="AR4" s="11"/>
      <c r="AS4" s="11"/>
      <c r="AT4" s="11"/>
      <c r="AU4" s="11"/>
      <c r="AV4" s="11"/>
      <c r="AW4" s="11"/>
      <c r="AX4" s="11"/>
      <c r="AY4" s="11"/>
      <c r="AZ4" s="11"/>
      <c r="BA4" s="11"/>
      <c r="BB4" s="11"/>
      <c r="BC4" s="11"/>
      <c r="BD4" s="11"/>
      <c r="BE4" s="11"/>
      <c r="BF4" s="11"/>
      <c r="BG4" s="8">
        <f t="shared" ref="BG4:BG35" si="1">IFERROR(AVERAGEIF(C4:BE4,"&lt;&gt;nill"), "")</f>
        <v>74.285714285714292</v>
      </c>
      <c r="BH4" s="12" t="str" cm="1">
        <f t="array" ref="BH4">_xlfn.TEXTJOIN(" ", TRUE, _xlfn._xlws.FILTER(C4:BF4, MOD(COLUMN(C4:BF4)-COLUMN(BJ4),2)=0))</f>
        <v>GOOD IN SHUTTLE GOOD IN SHUTTLE GOOD IN FOOTBALL PLAYING WELL SHUTTLE INTERESTED IN VALLEYBALL PLAYING WELL SHUTTLE INTERESTED IN BADMINTON &amp;PARTICIPATED IN RUNNING ALSO</v>
      </c>
      <c r="BI4" s="8">
        <v>50</v>
      </c>
      <c r="BJ4" s="13"/>
      <c r="BK4" s="8"/>
      <c r="BL4" s="13"/>
      <c r="BM4" s="8"/>
      <c r="BN4" s="13"/>
    </row>
    <row r="5" spans="1:70" ht="14.35" customHeight="1" x14ac:dyDescent="0.45">
      <c r="A5" s="32"/>
      <c r="B5" s="8" t="s">
        <v>41</v>
      </c>
      <c r="C5" s="8">
        <v>75</v>
      </c>
      <c r="D5" s="11" t="s">
        <v>103</v>
      </c>
      <c r="E5" s="15">
        <v>65</v>
      </c>
      <c r="F5" s="11" t="s">
        <v>129</v>
      </c>
      <c r="G5" s="8">
        <v>75</v>
      </c>
      <c r="H5" s="11" t="s">
        <v>103</v>
      </c>
      <c r="I5" s="11">
        <v>75</v>
      </c>
      <c r="J5" s="11" t="s">
        <v>223</v>
      </c>
      <c r="K5" s="8">
        <v>75</v>
      </c>
      <c r="L5" s="11" t="s">
        <v>170</v>
      </c>
      <c r="M5" s="8">
        <v>75</v>
      </c>
      <c r="N5" s="11" t="s">
        <v>223</v>
      </c>
      <c r="O5" s="11"/>
      <c r="P5" s="11"/>
      <c r="Q5" s="11"/>
      <c r="R5" s="11"/>
      <c r="S5" s="11"/>
      <c r="T5" s="11"/>
      <c r="U5" s="11">
        <v>75</v>
      </c>
      <c r="V5" s="11" t="s">
        <v>343</v>
      </c>
      <c r="W5" s="11"/>
      <c r="X5" s="11"/>
      <c r="Y5" s="11"/>
      <c r="Z5" s="11"/>
      <c r="AA5" s="11"/>
      <c r="AB5" s="11"/>
      <c r="AC5" s="11"/>
      <c r="AD5" s="11"/>
      <c r="AE5" s="11"/>
      <c r="AF5" s="11"/>
      <c r="AG5" s="11"/>
      <c r="AH5" s="8"/>
      <c r="AI5" s="11"/>
      <c r="AJ5" s="11"/>
      <c r="AK5" s="11"/>
      <c r="AL5" s="11"/>
      <c r="AM5" s="11"/>
      <c r="AN5" s="11"/>
      <c r="AO5" s="11"/>
      <c r="AP5" s="11"/>
      <c r="AQ5" s="11"/>
      <c r="AR5" s="11"/>
      <c r="AS5" s="11"/>
      <c r="AT5" s="11"/>
      <c r="AU5" s="11"/>
      <c r="AV5" s="11"/>
      <c r="AW5" s="11"/>
      <c r="AX5" s="11"/>
      <c r="AY5" s="11"/>
      <c r="AZ5" s="11"/>
      <c r="BA5" s="11"/>
      <c r="BB5" s="11"/>
      <c r="BC5" s="11"/>
      <c r="BD5" s="11"/>
      <c r="BE5" s="11"/>
      <c r="BF5" s="11"/>
      <c r="BG5" s="8">
        <f t="shared" si="1"/>
        <v>73.571428571428569</v>
      </c>
      <c r="BH5" s="12" t="str" cm="1">
        <f t="array" ref="BH5">_xlfn.TEXTJOIN(" ", TRUE, _xlfn._xlws.FILTER(C5:BF5, MOD(COLUMN(C5:BF5)-COLUMN(BJ5),2)=0))</f>
        <v>SHOWING INTEREST BUT NEED PRACTICE PERFORMING WELL NEED PRACTISE SHOWING INTEREST BUT NEED PRACTICE ANSWERING WELL ACTIVE PARTICEPATION INTERESTED IN TYPING ANSWERING WELL ACTIVE PARTICEPATION JUST LEARNING BASIC SKILLS</v>
      </c>
      <c r="BI5" s="8"/>
      <c r="BJ5" s="13"/>
      <c r="BK5" s="8"/>
      <c r="BL5" s="13"/>
      <c r="BM5" s="8"/>
      <c r="BN5" s="13"/>
    </row>
    <row r="6" spans="1:70" ht="14.35" customHeight="1" x14ac:dyDescent="0.45">
      <c r="A6" s="32"/>
      <c r="B6" s="8" t="s">
        <v>42</v>
      </c>
      <c r="C6" s="8">
        <v>75</v>
      </c>
      <c r="D6" s="11" t="s">
        <v>95</v>
      </c>
      <c r="E6" s="8">
        <v>50</v>
      </c>
      <c r="F6" s="11" t="s">
        <v>134</v>
      </c>
      <c r="G6" s="15">
        <v>65</v>
      </c>
      <c r="H6" s="11" t="s">
        <v>135</v>
      </c>
      <c r="I6" s="11">
        <v>75</v>
      </c>
      <c r="J6" s="11" t="s">
        <v>224</v>
      </c>
      <c r="K6" s="8"/>
      <c r="L6" s="11"/>
      <c r="M6" s="24">
        <v>55</v>
      </c>
      <c r="N6" s="11" t="s">
        <v>146</v>
      </c>
      <c r="O6" s="11">
        <v>70</v>
      </c>
      <c r="P6" s="11" t="s">
        <v>267</v>
      </c>
      <c r="Q6" s="11"/>
      <c r="R6" s="11"/>
      <c r="S6" s="11"/>
      <c r="T6" s="11"/>
      <c r="U6" s="26">
        <v>85</v>
      </c>
      <c r="V6" s="11" t="s">
        <v>142</v>
      </c>
      <c r="W6" s="11"/>
      <c r="X6" s="11"/>
      <c r="Y6" s="11"/>
      <c r="Z6" s="11"/>
      <c r="AA6" s="11"/>
      <c r="AB6" s="11"/>
      <c r="AC6" s="11"/>
      <c r="AD6" s="11"/>
      <c r="AE6" s="11"/>
      <c r="AF6" s="11"/>
      <c r="AG6" s="11"/>
      <c r="AH6" s="8"/>
      <c r="AI6" s="11"/>
      <c r="AJ6" s="11"/>
      <c r="AK6" s="11"/>
      <c r="AL6" s="11"/>
      <c r="AM6" s="11"/>
      <c r="AN6" s="11"/>
      <c r="AO6" s="11"/>
      <c r="AP6" s="11"/>
      <c r="AQ6" s="11"/>
      <c r="AR6" s="11"/>
      <c r="AS6" s="11"/>
      <c r="AT6" s="11"/>
      <c r="AU6" s="11"/>
      <c r="AV6" s="11"/>
      <c r="AW6" s="11"/>
      <c r="AX6" s="11"/>
      <c r="AY6" s="11"/>
      <c r="AZ6" s="11"/>
      <c r="BA6" s="11"/>
      <c r="BB6" s="11"/>
      <c r="BC6" s="11"/>
      <c r="BD6" s="11"/>
      <c r="BE6" s="11"/>
      <c r="BF6" s="11"/>
      <c r="BG6" s="8">
        <f t="shared" si="1"/>
        <v>67.857142857142861</v>
      </c>
      <c r="BH6" s="12" t="str" cm="1">
        <f t="array" ref="BH6">_xlfn.TEXTJOIN(" ", TRUE, _xlfn._xlws.FILTER(C6:BF6, MOD(COLUMN(C6:BF6)-COLUMN(BJ6),2)=0))</f>
        <v>GOOD DRAWING IN EXACT MEASUREMENTS AND NEATLY SCETCHING NEED TO PAY ATTENTION  BIT SLOW IN THE CLASS BUT PERFORMING WELL GOOD IN SHADING CAN DO BETTER GOOD IN VISUAL COMPONENTS GOOD IN CREATING A SERIES OF CONNECTED POINTS  UTILIZING THE LINES NEATLY</v>
      </c>
      <c r="BI6" s="8"/>
      <c r="BJ6" s="13"/>
      <c r="BK6" s="8"/>
      <c r="BL6" s="13"/>
      <c r="BM6" s="8"/>
      <c r="BN6" s="13"/>
    </row>
    <row r="7" spans="1:70" ht="14.35" customHeight="1" x14ac:dyDescent="0.45">
      <c r="A7" s="32"/>
      <c r="B7" s="8" t="s">
        <v>43</v>
      </c>
      <c r="C7" s="8">
        <v>50</v>
      </c>
      <c r="D7" s="11" t="s">
        <v>76</v>
      </c>
      <c r="E7" s="15">
        <v>65</v>
      </c>
      <c r="F7" s="11" t="s">
        <v>108</v>
      </c>
      <c r="G7" s="8">
        <v>50</v>
      </c>
      <c r="H7" s="11" t="s">
        <v>120</v>
      </c>
      <c r="I7" s="11"/>
      <c r="J7" s="11" t="s">
        <v>163</v>
      </c>
      <c r="K7" s="8">
        <v>75</v>
      </c>
      <c r="L7" s="11" t="s">
        <v>220</v>
      </c>
      <c r="M7" s="8">
        <v>50</v>
      </c>
      <c r="N7" s="11" t="s">
        <v>250</v>
      </c>
      <c r="O7" s="11"/>
      <c r="P7" s="11"/>
      <c r="Q7" s="11">
        <v>55</v>
      </c>
      <c r="R7" s="11" t="s">
        <v>292</v>
      </c>
      <c r="S7" s="11"/>
      <c r="T7" s="11"/>
      <c r="U7" s="28">
        <v>95</v>
      </c>
      <c r="V7" s="11" t="s">
        <v>355</v>
      </c>
      <c r="W7" s="11"/>
      <c r="X7" s="11"/>
      <c r="Y7" s="11"/>
      <c r="Z7" s="11"/>
      <c r="AA7" s="11"/>
      <c r="AB7" s="11"/>
      <c r="AC7" s="11"/>
      <c r="AD7" s="11"/>
      <c r="AE7" s="11"/>
      <c r="AF7" s="11"/>
      <c r="AG7" s="11"/>
      <c r="AH7" s="8"/>
      <c r="AI7" s="11"/>
      <c r="AJ7" s="11"/>
      <c r="AK7" s="11"/>
      <c r="AL7" s="11"/>
      <c r="AM7" s="11"/>
      <c r="AN7" s="11"/>
      <c r="AO7" s="11"/>
      <c r="AP7" s="11"/>
      <c r="AQ7" s="11"/>
      <c r="AR7" s="11"/>
      <c r="AS7" s="11"/>
      <c r="AT7" s="11"/>
      <c r="AU7" s="11"/>
      <c r="AV7" s="11"/>
      <c r="AW7" s="11"/>
      <c r="AX7" s="11"/>
      <c r="AY7" s="11"/>
      <c r="AZ7" s="11"/>
      <c r="BA7" s="11"/>
      <c r="BB7" s="11"/>
      <c r="BC7" s="11"/>
      <c r="BD7" s="11"/>
      <c r="BE7" s="11"/>
      <c r="BF7" s="11"/>
      <c r="BG7" s="8">
        <f t="shared" si="1"/>
        <v>62.857142857142854</v>
      </c>
      <c r="BH7" s="12" t="str" cm="1">
        <f t="array" ref="BH7">_xlfn.TEXTJOIN(" ", TRUE, _xlfn._xlws.FILTER(C7:BF7, MOD(COLUMN(C7:BF7)-COLUMN(BJ7),2)=0))</f>
        <v>AVERAGE PARTICIPATION GOOD INTERSESTIN REAIDNG IN PANCHATHANTRA,ANIMALS STORIES,ENJOYS WHILE READING GOOD IN READING  CLASS CANCELED INTERESTED IN STORY BOOKS LIKE ANIMALS ESPECIALLY GOOD IN READING BUT NEED TO FOCUS   NEED TO IMPROVE IN PRONOUNCATION ,CAN IMPROVE WELL PREFER MORAL STORIES FROM PANCHATANTRA &amp;ACTION STORIES HAVING LIBRARYMEMBERSHIP SO DAILY NIGHT SPEND TIME ON READING BOOKS</v>
      </c>
      <c r="BI7" s="8"/>
      <c r="BJ7" s="13"/>
      <c r="BK7" s="8"/>
      <c r="BL7" s="13"/>
      <c r="BM7" s="8"/>
      <c r="BN7" s="13"/>
    </row>
    <row r="8" spans="1:70" ht="14.35" customHeight="1" x14ac:dyDescent="0.45">
      <c r="A8" s="33"/>
      <c r="B8" s="8" t="s">
        <v>44</v>
      </c>
      <c r="C8" s="8"/>
      <c r="D8" s="11"/>
      <c r="E8" s="8"/>
      <c r="F8" s="11"/>
      <c r="G8" s="8"/>
      <c r="H8" s="11"/>
      <c r="I8" s="11"/>
      <c r="J8" s="11"/>
      <c r="K8" s="11"/>
      <c r="L8" s="11"/>
      <c r="M8" s="8"/>
      <c r="N8" s="11"/>
      <c r="O8" s="11"/>
      <c r="P8" s="11"/>
      <c r="Q8" s="11"/>
      <c r="R8" s="11"/>
      <c r="S8" s="11"/>
      <c r="T8" s="11"/>
      <c r="U8" s="11"/>
      <c r="V8" s="11"/>
      <c r="W8" s="11"/>
      <c r="X8" s="11"/>
      <c r="Y8" s="11"/>
      <c r="Z8" s="11"/>
      <c r="AA8" s="11"/>
      <c r="AB8" s="11"/>
      <c r="AC8" s="11"/>
      <c r="AD8" s="11"/>
      <c r="AE8" s="11"/>
      <c r="AF8" s="11"/>
      <c r="AG8" s="11"/>
      <c r="AI8" s="11"/>
      <c r="AJ8" s="11"/>
      <c r="AK8" s="11"/>
      <c r="AL8" s="11"/>
      <c r="AM8" s="11"/>
      <c r="AN8" s="11"/>
      <c r="AO8" s="11"/>
      <c r="AP8" s="11"/>
      <c r="AQ8" s="11"/>
      <c r="AR8" s="11"/>
      <c r="AS8" s="11"/>
      <c r="AT8" s="11"/>
      <c r="AU8" s="11"/>
      <c r="AV8" s="11"/>
      <c r="AW8" s="11"/>
      <c r="AX8" s="11"/>
      <c r="AY8" s="11"/>
      <c r="AZ8" s="11"/>
      <c r="BA8" s="11"/>
      <c r="BB8" s="11"/>
      <c r="BC8" s="11"/>
      <c r="BD8" s="11"/>
      <c r="BE8" s="11"/>
      <c r="BF8" s="11"/>
      <c r="BG8" s="8" t="str">
        <f t="shared" si="1"/>
        <v/>
      </c>
      <c r="BH8" s="12" t="str" cm="1">
        <f t="array" ref="BH8">_xlfn.TEXTJOIN(" ", TRUE, _xlfn._xlws.FILTER(C8:BF8, MOD(COLUMN(C8:BF8)-COLUMN(BJ8),2)=0))</f>
        <v/>
      </c>
      <c r="BI8" s="8"/>
      <c r="BJ8" s="11"/>
      <c r="BK8" s="8"/>
      <c r="BL8" s="11"/>
      <c r="BM8" s="8"/>
      <c r="BN8" s="11"/>
    </row>
    <row r="9" spans="1:70" ht="14.35" customHeight="1" x14ac:dyDescent="0.45">
      <c r="A9" s="31" t="s">
        <v>87</v>
      </c>
      <c r="B9" s="8" t="s">
        <v>39</v>
      </c>
      <c r="C9" s="8"/>
      <c r="D9" s="11"/>
      <c r="E9" s="8"/>
      <c r="F9" s="11"/>
      <c r="G9" s="8"/>
      <c r="H9" s="11"/>
      <c r="I9" s="11"/>
      <c r="J9" s="11"/>
      <c r="K9" s="15">
        <v>65</v>
      </c>
      <c r="L9" s="11" t="s">
        <v>197</v>
      </c>
      <c r="M9" s="8"/>
      <c r="N9" s="11"/>
      <c r="O9" s="11"/>
      <c r="P9" s="11"/>
      <c r="Q9" s="11"/>
      <c r="R9" s="11"/>
      <c r="S9" s="11"/>
      <c r="T9" s="11"/>
      <c r="U9" s="11"/>
      <c r="V9" s="11"/>
      <c r="W9" s="11"/>
      <c r="X9" s="11"/>
      <c r="Y9" s="11"/>
      <c r="Z9" s="11"/>
      <c r="AA9" s="11"/>
      <c r="AB9" s="11"/>
      <c r="AC9" s="11"/>
      <c r="AD9" s="11"/>
      <c r="AE9" s="11"/>
      <c r="AF9" s="11"/>
      <c r="AG9" s="11"/>
      <c r="AI9" s="11"/>
      <c r="AJ9" s="11"/>
      <c r="AK9" s="11"/>
      <c r="AL9" s="11"/>
      <c r="AM9" s="11"/>
      <c r="AN9" s="11"/>
      <c r="AO9" s="11"/>
      <c r="AP9" s="11"/>
      <c r="AQ9" s="11"/>
      <c r="AR9" s="11"/>
      <c r="AS9" s="11"/>
      <c r="AT9" s="11"/>
      <c r="AU9" s="11"/>
      <c r="AV9" s="11"/>
      <c r="AW9" s="11"/>
      <c r="AX9" s="11"/>
      <c r="AY9" s="11"/>
      <c r="AZ9" s="11"/>
      <c r="BA9" s="11"/>
      <c r="BB9" s="11"/>
      <c r="BC9" s="11"/>
      <c r="BD9" s="11"/>
      <c r="BE9" s="11"/>
      <c r="BF9" s="11"/>
      <c r="BG9" s="8">
        <f t="shared" si="1"/>
        <v>65</v>
      </c>
      <c r="BH9" s="12" t="str" cm="1">
        <f t="array" ref="BH9">_xlfn.TEXTJOIN(" ", TRUE, _xlfn._xlws.FILTER(C9:BF9, MOD(COLUMN(C9:BF9)-COLUMN(BJ9),2)=0))</f>
        <v>INTERESTED IN MATHS</v>
      </c>
      <c r="BI9" s="8"/>
      <c r="BJ9" s="11"/>
      <c r="BK9" s="8"/>
      <c r="BL9" s="11"/>
      <c r="BM9" s="8"/>
      <c r="BN9" s="11"/>
    </row>
    <row r="10" spans="1:70" ht="14.35" customHeight="1" x14ac:dyDescent="0.45">
      <c r="A10" s="32"/>
      <c r="B10" s="8" t="s">
        <v>40</v>
      </c>
      <c r="C10" s="8">
        <v>50</v>
      </c>
      <c r="D10" s="11" t="s">
        <v>104</v>
      </c>
      <c r="E10" s="15">
        <v>65</v>
      </c>
      <c r="F10" s="11" t="s">
        <v>104</v>
      </c>
      <c r="G10" s="8">
        <v>75</v>
      </c>
      <c r="H10" s="11" t="s">
        <v>127</v>
      </c>
      <c r="I10" s="22">
        <v>85</v>
      </c>
      <c r="J10" s="11" t="s">
        <v>222</v>
      </c>
      <c r="K10" s="8">
        <v>75</v>
      </c>
      <c r="L10" s="11" t="s">
        <v>176</v>
      </c>
      <c r="M10" s="17">
        <v>85</v>
      </c>
      <c r="N10" s="11" t="s">
        <v>222</v>
      </c>
      <c r="O10" s="11"/>
      <c r="P10" s="11"/>
      <c r="Q10" s="11"/>
      <c r="R10" s="11"/>
      <c r="S10" s="11"/>
      <c r="T10" s="11"/>
      <c r="U10" s="26">
        <v>85</v>
      </c>
      <c r="V10" s="11" t="s">
        <v>382</v>
      </c>
      <c r="W10" s="11"/>
      <c r="X10" s="11"/>
      <c r="Y10" s="11"/>
      <c r="Z10" s="11"/>
      <c r="AA10" s="11"/>
      <c r="AB10" s="11"/>
      <c r="AC10" s="11"/>
      <c r="AD10" s="11"/>
      <c r="AE10" s="11"/>
      <c r="AF10" s="11"/>
      <c r="AG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8">
        <f t="shared" si="1"/>
        <v>74.285714285714292</v>
      </c>
      <c r="BH10" s="12" t="str" cm="1">
        <f t="array" ref="BH10">_xlfn.TEXTJOIN(" ", TRUE, _xlfn._xlws.FILTER(C10:BF10, MOD(COLUMN(C10:BF10)-COLUMN(BJ10),2)=0))</f>
        <v>GOOD IN SHUTTLE GOOD IN SHUTTLE GOOD IN FOOTBALL PLAYING WELL SHUTTLE INTERESTED IN KHABADI PLAYING WELL SHUTTLE INTERESTED IN FOOTBALL&amp;VOLLEYBALL</v>
      </c>
      <c r="BI10" s="8"/>
      <c r="BJ10" s="11"/>
      <c r="BK10" s="8"/>
      <c r="BL10" s="11"/>
      <c r="BM10" s="8"/>
      <c r="BN10" s="11"/>
    </row>
    <row r="11" spans="1:70" ht="14.35" customHeight="1" x14ac:dyDescent="0.45">
      <c r="A11" s="32"/>
      <c r="B11" s="8" t="s">
        <v>41</v>
      </c>
      <c r="C11" s="8">
        <v>75</v>
      </c>
      <c r="D11" s="11" t="s">
        <v>103</v>
      </c>
      <c r="E11" s="15">
        <v>65</v>
      </c>
      <c r="F11" s="11" t="s">
        <v>129</v>
      </c>
      <c r="G11" s="8">
        <v>75</v>
      </c>
      <c r="H11" s="11" t="s">
        <v>103</v>
      </c>
      <c r="I11" s="11">
        <v>75</v>
      </c>
      <c r="J11" s="11" t="s">
        <v>223</v>
      </c>
      <c r="K11" s="15">
        <v>65</v>
      </c>
      <c r="L11" s="11" t="s">
        <v>170</v>
      </c>
      <c r="M11" s="8">
        <v>75</v>
      </c>
      <c r="N11" s="11" t="s">
        <v>223</v>
      </c>
      <c r="O11" s="11"/>
      <c r="P11" s="11"/>
      <c r="Q11" s="11"/>
      <c r="R11" s="11"/>
      <c r="S11" s="11"/>
      <c r="T11" s="11"/>
      <c r="U11" s="11">
        <v>75</v>
      </c>
      <c r="V11" s="11" t="s">
        <v>343</v>
      </c>
      <c r="W11" s="11"/>
      <c r="X11" s="11"/>
      <c r="Y11" s="11"/>
      <c r="Z11" s="11"/>
      <c r="AA11" s="11"/>
      <c r="AB11" s="11"/>
      <c r="AC11" s="11"/>
      <c r="AD11" s="11"/>
      <c r="AE11" s="11"/>
      <c r="AF11" s="11"/>
      <c r="AG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8">
        <f t="shared" si="1"/>
        <v>72.142857142857139</v>
      </c>
      <c r="BH11" s="12" t="str" cm="1">
        <f t="array" ref="BH11">_xlfn.TEXTJOIN(" ", TRUE, _xlfn._xlws.FILTER(C11:BF11, MOD(COLUMN(C11:BF11)-COLUMN(BJ11),2)=0))</f>
        <v>SHOWING INTEREST BUT NEED PRACTICE PERFORMING WELL NEED PRACTISE SHOWING INTEREST BUT NEED PRACTICE ANSWERING WELL ACTIVE PARTICEPATION INTERESTED IN TYPING ANSWERING WELL ACTIVE PARTICEPATION JUST LEARNING BASIC SKILLS</v>
      </c>
      <c r="BI11" s="8"/>
      <c r="BJ11" s="11"/>
      <c r="BK11" s="8"/>
      <c r="BL11" s="11"/>
      <c r="BM11" s="8"/>
      <c r="BN11" s="11"/>
    </row>
    <row r="12" spans="1:70" ht="14.35" customHeight="1" x14ac:dyDescent="0.45">
      <c r="A12" s="32"/>
      <c r="B12" s="8" t="s">
        <v>42</v>
      </c>
      <c r="C12" s="8">
        <v>50</v>
      </c>
      <c r="D12" s="11" t="s">
        <v>76</v>
      </c>
      <c r="E12" s="8">
        <v>50</v>
      </c>
      <c r="F12" s="11" t="s">
        <v>136</v>
      </c>
      <c r="G12" s="15">
        <v>65</v>
      </c>
      <c r="H12" s="11" t="s">
        <v>137</v>
      </c>
      <c r="I12" s="11">
        <v>75</v>
      </c>
      <c r="J12" s="11" t="s">
        <v>147</v>
      </c>
      <c r="K12" s="8"/>
      <c r="L12" s="11"/>
      <c r="M12" s="25">
        <v>65</v>
      </c>
      <c r="N12" s="11" t="s">
        <v>139</v>
      </c>
      <c r="O12" s="11">
        <v>75</v>
      </c>
      <c r="P12" s="11" t="s">
        <v>268</v>
      </c>
      <c r="Q12" s="11"/>
      <c r="R12" s="11"/>
      <c r="S12" s="11"/>
      <c r="T12" s="11"/>
      <c r="U12" s="29">
        <v>80</v>
      </c>
      <c r="V12" s="11" t="s">
        <v>350</v>
      </c>
      <c r="W12" s="11"/>
      <c r="X12" s="11"/>
      <c r="Y12" s="11"/>
      <c r="Z12" s="11"/>
      <c r="AA12" s="11"/>
      <c r="AB12" s="11"/>
      <c r="AC12" s="11"/>
      <c r="AD12" s="11"/>
      <c r="AE12" s="11"/>
      <c r="AF12" s="11"/>
      <c r="AG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8">
        <f t="shared" si="1"/>
        <v>65.714285714285708</v>
      </c>
      <c r="BH12" s="12" t="str" cm="1">
        <f t="array" ref="BH12">_xlfn.TEXTJOIN(" ", TRUE, _xlfn._xlws.FILTER(C12:BF12, MOD(COLUMN(C12:BF12)-COLUMN(BJ12),2)=0))</f>
        <v>AVERAGE PARTICIPATION TAKING FRIENDS HELP TO COMPLETE THE TASK SIMPLIFYING THE CONTOUR WELL NEED TO FOCUS ON VISUAL EVALUATING THE SHADING WELL DOING GOOD NEED TO REDUCE THE PRESSURE ON PENCIL SHOWING WILLINGNESS IN DRAWING</v>
      </c>
      <c r="BI12" s="8"/>
      <c r="BJ12" s="11"/>
      <c r="BK12" s="8"/>
      <c r="BL12" s="11"/>
      <c r="BM12" s="8"/>
      <c r="BN12" s="11"/>
    </row>
    <row r="13" spans="1:70" ht="14.35" customHeight="1" x14ac:dyDescent="0.45">
      <c r="A13" s="32"/>
      <c r="B13" s="8" t="s">
        <v>43</v>
      </c>
      <c r="C13" s="8">
        <v>50</v>
      </c>
      <c r="D13" s="11" t="s">
        <v>72</v>
      </c>
      <c r="E13" s="8" t="s">
        <v>82</v>
      </c>
      <c r="F13" s="11" t="s">
        <v>82</v>
      </c>
      <c r="G13" s="8">
        <v>50</v>
      </c>
      <c r="H13" s="20" t="s">
        <v>123</v>
      </c>
      <c r="I13" s="11"/>
      <c r="J13" s="11" t="s">
        <v>163</v>
      </c>
      <c r="K13" s="8"/>
      <c r="L13" s="11"/>
      <c r="M13" s="15">
        <v>65</v>
      </c>
      <c r="N13" s="11" t="s">
        <v>246</v>
      </c>
      <c r="O13" s="11"/>
      <c r="P13" s="11"/>
      <c r="Q13" s="11">
        <v>60</v>
      </c>
      <c r="R13" s="11" t="s">
        <v>293</v>
      </c>
      <c r="S13" s="11">
        <v>45</v>
      </c>
      <c r="T13" s="11" t="s">
        <v>310</v>
      </c>
      <c r="U13" s="29">
        <v>80</v>
      </c>
      <c r="V13" s="11" t="s">
        <v>353</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8">
        <f t="shared" si="1"/>
        <v>58.333333333333336</v>
      </c>
      <c r="BH13" s="12" t="str" cm="1">
        <f t="array" ref="BH13">_xlfn.TEXTJOIN(" ", TRUE, _xlfn._xlws.FILTER(C13:BF13, MOD(COLUMN(C13:BF13)-COLUMN(BJ13),2)=0))</f>
        <v>GOOD IN READING CAN IMPROVE MORE AB GOOD IN READING NEED TO IMPROVE VOCABULARY CLASS CANCELED GOOD IN READING WITH CONCENTRATELY HAD A GOOD COMMUNICATION SKILLS BUT NEED TO IMPROVE IN VOCABULARY INTERESTED IN NEWS PAPER READING,EXPLANING ABOUT SPORTS PREFER TO READ ALL KIND OF BOOKS</v>
      </c>
      <c r="BI13" s="8"/>
      <c r="BJ13" s="11"/>
      <c r="BK13" s="8"/>
      <c r="BL13" s="11"/>
      <c r="BM13" s="8"/>
      <c r="BN13" s="11"/>
    </row>
    <row r="14" spans="1:70" ht="14.35" customHeight="1" x14ac:dyDescent="0.45">
      <c r="A14" s="33"/>
      <c r="B14" s="8" t="s">
        <v>44</v>
      </c>
      <c r="C14" s="8"/>
      <c r="D14" s="11"/>
      <c r="E14" s="8"/>
      <c r="F14" s="11"/>
      <c r="G14" s="8"/>
      <c r="H14" s="11"/>
      <c r="I14" s="11"/>
      <c r="J14" s="11"/>
      <c r="K14" s="11"/>
      <c r="L14" s="11"/>
      <c r="M14" s="8"/>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8" t="str">
        <f t="shared" si="1"/>
        <v/>
      </c>
      <c r="BH14" s="12" t="str" cm="1">
        <f t="array" ref="BH14">_xlfn.TEXTJOIN(" ", TRUE, _xlfn._xlws.FILTER(C14:BF14, MOD(COLUMN(C14:BF14)-COLUMN(BJ14),2)=0))</f>
        <v/>
      </c>
      <c r="BI14" s="8"/>
      <c r="BJ14" s="11"/>
      <c r="BK14" s="8"/>
      <c r="BL14" s="11"/>
      <c r="BM14" s="8"/>
      <c r="BN14" s="11"/>
    </row>
    <row r="15" spans="1:70" ht="14.35" customHeight="1" x14ac:dyDescent="0.45">
      <c r="A15" s="31" t="s">
        <v>46</v>
      </c>
      <c r="B15" s="8" t="s">
        <v>39</v>
      </c>
      <c r="C15" s="8"/>
      <c r="D15" s="11"/>
      <c r="E15" s="8"/>
      <c r="F15" s="11"/>
      <c r="G15" s="8"/>
      <c r="H15" s="11"/>
      <c r="I15" s="11"/>
      <c r="J15" s="11"/>
      <c r="K15" s="15">
        <v>65</v>
      </c>
      <c r="L15" s="11" t="s">
        <v>168</v>
      </c>
      <c r="M15" s="8"/>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8">
        <f t="shared" si="1"/>
        <v>65</v>
      </c>
      <c r="BH15" s="12" t="str" cm="1">
        <f t="array" ref="BH15">_xlfn.TEXTJOIN(" ", TRUE, _xlfn._xlws.FILTER(C15:BF15, MOD(COLUMN(C15:BF15)-COLUMN(BJ15),2)=0))</f>
        <v>INTERESTED IN BIOLOGY</v>
      </c>
      <c r="BI15" s="8"/>
      <c r="BJ15" s="11"/>
      <c r="BK15" s="8"/>
      <c r="BL15" s="11"/>
      <c r="BM15" s="8"/>
      <c r="BN15" s="11"/>
    </row>
    <row r="16" spans="1:70" ht="14.35" customHeight="1" x14ac:dyDescent="0.45">
      <c r="A16" s="32"/>
      <c r="B16" s="8" t="s">
        <v>40</v>
      </c>
      <c r="C16" s="8">
        <v>50</v>
      </c>
      <c r="D16" s="11" t="s">
        <v>104</v>
      </c>
      <c r="E16" s="15">
        <v>65</v>
      </c>
      <c r="F16" s="11" t="s">
        <v>104</v>
      </c>
      <c r="G16" s="8">
        <v>75</v>
      </c>
      <c r="H16" s="11" t="s">
        <v>127</v>
      </c>
      <c r="I16" s="22">
        <v>85</v>
      </c>
      <c r="J16" s="11" t="s">
        <v>222</v>
      </c>
      <c r="K16" s="8">
        <v>75</v>
      </c>
      <c r="L16" s="11" t="s">
        <v>183</v>
      </c>
      <c r="M16" s="17">
        <v>85</v>
      </c>
      <c r="N16" s="11" t="s">
        <v>222</v>
      </c>
      <c r="O16" s="11"/>
      <c r="P16" s="11"/>
      <c r="Q16" s="11"/>
      <c r="R16" s="11"/>
      <c r="S16" s="11"/>
      <c r="T16" s="11"/>
      <c r="U16" s="11">
        <v>100</v>
      </c>
      <c r="V16" s="11" t="s">
        <v>336</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8">
        <f>IFERROR(AVERAGEIF(C16:BD16,"&lt;&gt;nill"), "")</f>
        <v>76.428571428571431</v>
      </c>
      <c r="BG16" s="12" t="str" cm="1">
        <f t="array" ref="BG16">_xlfn.TEXTJOIN(" ", TRUE, _xlfn._xlws.FILTER(C16:BE16, MOD(COLUMN(C16:BE16)-COLUMN(BI16),2)=0))</f>
        <v>50 65 75 85 75 85 100</v>
      </c>
      <c r="BH16" s="8"/>
      <c r="BI16" s="11"/>
      <c r="BJ16" s="8"/>
      <c r="BK16" s="11"/>
      <c r="BL16" s="8"/>
      <c r="BM16" s="11"/>
    </row>
    <row r="17" spans="1:66" ht="14.35" customHeight="1" x14ac:dyDescent="0.45">
      <c r="A17" s="32"/>
      <c r="B17" s="8" t="s">
        <v>41</v>
      </c>
      <c r="C17" s="8">
        <v>75</v>
      </c>
      <c r="D17" s="11" t="s">
        <v>103</v>
      </c>
      <c r="E17" s="15">
        <v>65</v>
      </c>
      <c r="F17" s="11" t="s">
        <v>129</v>
      </c>
      <c r="G17" s="8">
        <v>75</v>
      </c>
      <c r="H17" s="11" t="s">
        <v>103</v>
      </c>
      <c r="I17" s="11">
        <v>75</v>
      </c>
      <c r="J17" s="11" t="s">
        <v>223</v>
      </c>
      <c r="K17" s="15">
        <v>65</v>
      </c>
      <c r="L17" s="11" t="s">
        <v>170</v>
      </c>
      <c r="M17" s="8">
        <v>75</v>
      </c>
      <c r="N17" s="11" t="s">
        <v>223</v>
      </c>
      <c r="O17" s="11"/>
      <c r="P17" s="11"/>
      <c r="Q17" s="11"/>
      <c r="R17" s="11"/>
      <c r="S17" s="11"/>
      <c r="T17" s="11"/>
      <c r="U17" s="26">
        <v>85</v>
      </c>
      <c r="V17" s="11" t="s">
        <v>337</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8">
        <f t="shared" si="1"/>
        <v>73.571428571428569</v>
      </c>
      <c r="BH17" s="12" t="str" cm="1">
        <f t="array" ref="BH17">_xlfn.TEXTJOIN(" ", TRUE, _xlfn._xlws.FILTER(C17:BF17, MOD(COLUMN(C17:BF17)-COLUMN(BJ17),2)=0))</f>
        <v>SHOWING INTEREST BUT NEED PRACTICE PERFORMING WELL NEED PRACTISE SHOWING INTEREST BUT NEED PRACTICE ANSWERING WELL ACTIVE PARTICEPATION INTERESTED IN TYPING ANSWERING WELL ACTIVE PARTICEPATION KNOWS BASIC SKILLS AND TYPING DAILY PRACTICE AT HOME 1HOUR</v>
      </c>
      <c r="BI17" s="8"/>
      <c r="BJ17" s="11"/>
      <c r="BK17" s="8"/>
      <c r="BL17" s="11"/>
      <c r="BM17" s="8"/>
      <c r="BN17" s="11"/>
    </row>
    <row r="18" spans="1:66" ht="14.35" customHeight="1" x14ac:dyDescent="0.45">
      <c r="A18" s="32"/>
      <c r="B18" s="8" t="s">
        <v>42</v>
      </c>
      <c r="C18" s="15">
        <v>65</v>
      </c>
      <c r="D18" s="11" t="s">
        <v>85</v>
      </c>
      <c r="E18" s="8">
        <v>50</v>
      </c>
      <c r="F18" s="11" t="s">
        <v>138</v>
      </c>
      <c r="G18" s="8">
        <v>50</v>
      </c>
      <c r="H18" s="11" t="s">
        <v>139</v>
      </c>
      <c r="I18" s="11">
        <v>75</v>
      </c>
      <c r="J18" s="11" t="s">
        <v>225</v>
      </c>
      <c r="K18" s="8">
        <v>75</v>
      </c>
      <c r="L18" s="11" t="s">
        <v>201</v>
      </c>
      <c r="M18" s="8">
        <v>50</v>
      </c>
      <c r="N18" s="11" t="s">
        <v>76</v>
      </c>
      <c r="O18" s="11">
        <v>70</v>
      </c>
      <c r="P18" s="11" t="s">
        <v>269</v>
      </c>
      <c r="Q18" s="11"/>
      <c r="R18" s="11"/>
      <c r="S18" s="11"/>
      <c r="T18" s="11"/>
      <c r="U18" s="27">
        <v>90</v>
      </c>
      <c r="V18" s="11" t="s">
        <v>271</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8">
        <f t="shared" si="1"/>
        <v>65.625</v>
      </c>
      <c r="BH18" s="12" t="str" cm="1">
        <f t="array" ref="BH18">_xlfn.TEXTJOIN(" ", TRUE, _xlfn._xlws.FILTER(C18:BF18, MOD(COLUMN(C18:BF18)-COLUMN(BJ18),2)=0))</f>
        <v>GOOD IN PENSILING ,GOOD OBSERVATION IN PENSILING WITH INTREST PAARTICIPATING GOOD IN SHADING EVALUATING THE SHADING WELL CROSSHATCHING EFFECT ON THE SURFACE INTERESTED IN ANIME DRAWINGS AVERAGE PARTICIPATION FOLLOWING THE MEASUREMENT CORRECTLY CREATING DIMENSIONAL DEPTH ON THE SURFACE</v>
      </c>
      <c r="BI18" s="8"/>
      <c r="BJ18" s="11"/>
      <c r="BK18" s="8"/>
      <c r="BL18" s="11"/>
      <c r="BM18" s="8"/>
      <c r="BN18" s="11"/>
    </row>
    <row r="19" spans="1:66" ht="14.35" customHeight="1" x14ac:dyDescent="0.45">
      <c r="A19" s="32"/>
      <c r="B19" s="8" t="s">
        <v>43</v>
      </c>
      <c r="C19" s="8">
        <v>25</v>
      </c>
      <c r="D19" s="11" t="s">
        <v>71</v>
      </c>
      <c r="E19" s="8">
        <v>25</v>
      </c>
      <c r="F19" s="11" t="s">
        <v>92</v>
      </c>
      <c r="G19" s="8">
        <v>25</v>
      </c>
      <c r="H19" s="11" t="s">
        <v>121</v>
      </c>
      <c r="I19" s="11"/>
      <c r="J19" s="11" t="s">
        <v>163</v>
      </c>
      <c r="K19" s="15">
        <v>65</v>
      </c>
      <c r="L19" s="11" t="s">
        <v>178</v>
      </c>
      <c r="M19" s="8">
        <v>25</v>
      </c>
      <c r="N19" s="11" t="s">
        <v>121</v>
      </c>
      <c r="O19" s="11"/>
      <c r="P19" s="11"/>
      <c r="Q19" s="11">
        <v>45</v>
      </c>
      <c r="R19" s="11" t="s">
        <v>294</v>
      </c>
      <c r="S19" s="11">
        <v>25</v>
      </c>
      <c r="T19" s="11" t="s">
        <v>160</v>
      </c>
      <c r="U19" s="11">
        <v>100</v>
      </c>
      <c r="V19" s="11" t="s">
        <v>338</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8">
        <f t="shared" si="1"/>
        <v>41.875</v>
      </c>
      <c r="BH19" s="12" t="str" cm="1">
        <f t="array" ref="BH19">_xlfn.TEXTJOIN(" ", TRUE, _xlfn._xlws.FILTER(C19:BF19, MOD(COLUMN(C19:BF19)-COLUMN(BJ19),2)=0))</f>
        <v>NEUTRAL PARTICIPATING JUST PARTICIPATING NEAUTRAL PARTCIPATION CLASS CANCELED INTERESTED IN STORY BOOKS NEAUTRAL PARTCIPATION NEED TO  IMPROVE CONCENTRACTION NEUTRAL PARTICIPATION PREFER COMIC BOOKS TO READ INTERESTED IN READING NEWSPAPER FOLLOWS SPORTS COLOUM KNOW ABOUT STOCK MARKET FOLLOWS REGULAR UPDATES</v>
      </c>
      <c r="BI19" s="8"/>
      <c r="BJ19" s="11"/>
      <c r="BK19" s="8"/>
      <c r="BL19" s="11"/>
      <c r="BM19" s="8"/>
      <c r="BN19" s="11"/>
    </row>
    <row r="20" spans="1:66" ht="14.35" customHeight="1" x14ac:dyDescent="0.45">
      <c r="A20" s="33"/>
      <c r="B20" s="8" t="s">
        <v>44</v>
      </c>
      <c r="C20" s="8"/>
      <c r="D20" s="11"/>
      <c r="E20" s="8"/>
      <c r="F20" s="11"/>
      <c r="G20" s="8"/>
      <c r="H20" s="11"/>
      <c r="I20" s="11"/>
      <c r="J20" s="11"/>
      <c r="K20" s="11"/>
      <c r="L20" s="11"/>
      <c r="M20" s="8"/>
      <c r="N20" s="11"/>
      <c r="O20" s="11"/>
      <c r="P20" s="11"/>
      <c r="Q20" s="11"/>
      <c r="R20" s="11"/>
      <c r="S20" s="11"/>
      <c r="T20" s="11"/>
      <c r="U20" s="28">
        <v>95</v>
      </c>
      <c r="V20" s="11" t="s">
        <v>392</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8">
        <f t="shared" si="1"/>
        <v>95</v>
      </c>
      <c r="BH20" s="12" t="str" cm="1">
        <f t="array" ref="BH20">_xlfn.TEXTJOIN(" ", TRUE, _xlfn._xlws.FILTER(C20:BF20, MOD(COLUMN(C20:BF20)-COLUMN(BJ20),2)=0))</f>
        <v>INTERESTED IN FOLLOWING STOCK MARKET REGULARLY FOLLOWS THE UPDATES</v>
      </c>
      <c r="BI20" s="8"/>
      <c r="BJ20" s="11"/>
      <c r="BK20" s="8"/>
      <c r="BL20" s="11"/>
      <c r="BM20" s="8"/>
      <c r="BN20" s="11"/>
    </row>
    <row r="21" spans="1:66" ht="14.35" customHeight="1" x14ac:dyDescent="0.45">
      <c r="A21" s="31" t="s">
        <v>47</v>
      </c>
      <c r="B21" s="8" t="s">
        <v>39</v>
      </c>
      <c r="C21" s="8"/>
      <c r="D21" s="11"/>
      <c r="E21" s="8"/>
      <c r="F21" s="11"/>
      <c r="G21" s="8"/>
      <c r="H21" s="11"/>
      <c r="I21" s="11"/>
      <c r="J21" s="11"/>
      <c r="K21" s="8">
        <v>75</v>
      </c>
      <c r="L21" s="11" t="s">
        <v>209</v>
      </c>
      <c r="M21" s="8"/>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8">
        <f t="shared" si="1"/>
        <v>75</v>
      </c>
      <c r="BH21" s="12" t="str" cm="1">
        <f t="array" ref="BH21">_xlfn.TEXTJOIN(" ", TRUE, _xlfn._xlws.FILTER(C21:BF21, MOD(COLUMN(C21:BF21)-COLUMN(BJ21),2)=0))</f>
        <v>INTERESTED IN BIOLOGY ESPECIALLY IN MICRO ORGANISM,IN PHYSICS CHEMICAL EFFECTS &amp; MATHS</v>
      </c>
      <c r="BI21" s="8"/>
      <c r="BJ21" s="11"/>
      <c r="BK21" s="8"/>
      <c r="BL21" s="11"/>
      <c r="BM21" s="8"/>
      <c r="BN21" s="11"/>
    </row>
    <row r="22" spans="1:66" ht="14.35" customHeight="1" x14ac:dyDescent="0.45">
      <c r="A22" s="32"/>
      <c r="B22" s="8" t="s">
        <v>40</v>
      </c>
      <c r="C22" s="8">
        <v>50</v>
      </c>
      <c r="D22" s="11" t="s">
        <v>104</v>
      </c>
      <c r="E22" s="15">
        <v>65</v>
      </c>
      <c r="F22" s="11" t="s">
        <v>104</v>
      </c>
      <c r="G22" s="8">
        <v>75</v>
      </c>
      <c r="H22" s="11" t="s">
        <v>127</v>
      </c>
      <c r="I22" s="22">
        <v>85</v>
      </c>
      <c r="J22" s="11" t="s">
        <v>222</v>
      </c>
      <c r="K22" s="8">
        <v>75</v>
      </c>
      <c r="L22" s="11" t="s">
        <v>210</v>
      </c>
      <c r="M22" s="17">
        <v>85</v>
      </c>
      <c r="N22" s="11" t="s">
        <v>222</v>
      </c>
      <c r="O22" s="11"/>
      <c r="P22" s="11"/>
      <c r="Q22" s="11"/>
      <c r="R22" s="11"/>
      <c r="S22" s="11"/>
      <c r="T22" s="11"/>
      <c r="U22" s="26">
        <v>85</v>
      </c>
      <c r="V22" s="11" t="s">
        <v>352</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8">
        <f t="shared" si="1"/>
        <v>74.285714285714292</v>
      </c>
      <c r="BH22" s="12" t="str" cm="1">
        <f t="array" ref="BH22">_xlfn.TEXTJOIN(" ", TRUE, _xlfn._xlws.FILTER(C22:BF22, MOD(COLUMN(C22:BF22)-COLUMN(BJ22),2)=0))</f>
        <v>GOOD IN SHUTTLE GOOD IN SHUTTLE GOOD IN FOOTBALL PLAYING WELL SHUTTLE INTERESTED IN RUNNING, FOODBALL PLAYING WELL SHUTTLE INTERESTED IN FOOTBALL&amp;PARTICIPATED IN RUNNING ALSO</v>
      </c>
      <c r="BI22" s="8"/>
      <c r="BJ22" s="11"/>
      <c r="BK22" s="8"/>
      <c r="BL22" s="11"/>
      <c r="BM22" s="8"/>
      <c r="BN22" s="11"/>
    </row>
    <row r="23" spans="1:66" ht="14.35" customHeight="1" x14ac:dyDescent="0.45">
      <c r="A23" s="32"/>
      <c r="B23" s="8" t="s">
        <v>41</v>
      </c>
      <c r="C23" s="8">
        <v>75</v>
      </c>
      <c r="D23" s="11" t="s">
        <v>103</v>
      </c>
      <c r="E23" s="15">
        <v>65</v>
      </c>
      <c r="F23" s="11" t="s">
        <v>129</v>
      </c>
      <c r="G23" s="8">
        <v>75</v>
      </c>
      <c r="H23" s="11" t="s">
        <v>103</v>
      </c>
      <c r="I23" s="11">
        <v>75</v>
      </c>
      <c r="J23" s="11" t="s">
        <v>223</v>
      </c>
      <c r="K23" s="8"/>
      <c r="L23" s="11"/>
      <c r="M23" s="8">
        <v>75</v>
      </c>
      <c r="N23" s="11" t="s">
        <v>223</v>
      </c>
      <c r="O23" s="11"/>
      <c r="P23" s="11"/>
      <c r="Q23" s="11"/>
      <c r="R23" s="11"/>
      <c r="S23" s="11"/>
      <c r="T23" s="11"/>
      <c r="U23" s="11">
        <v>75</v>
      </c>
      <c r="V23" s="11" t="s">
        <v>343</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8">
        <f t="shared" si="1"/>
        <v>73.333333333333329</v>
      </c>
      <c r="BH23" s="12" t="str" cm="1">
        <f t="array" ref="BH23">_xlfn.TEXTJOIN(" ", TRUE, _xlfn._xlws.FILTER(C23:BF23, MOD(COLUMN(C23:BF23)-COLUMN(BJ23),2)=0))</f>
        <v>SHOWING INTEREST BUT NEED PRACTICE PERFORMING WELL NEED PRACTISE SHOWING INTEREST BUT NEED PRACTICE ANSWERING WELL ACTIVE PARTICEPATION ANSWERING WELL ACTIVE PARTICEPATION JUST LEARNING BASIC SKILLS</v>
      </c>
      <c r="BI23" s="8"/>
      <c r="BJ23" s="11"/>
      <c r="BK23" s="8"/>
      <c r="BL23" s="11"/>
      <c r="BM23" s="8"/>
      <c r="BN23" s="11"/>
    </row>
    <row r="24" spans="1:66" ht="14.35" customHeight="1" x14ac:dyDescent="0.45">
      <c r="A24" s="32"/>
      <c r="B24" s="8" t="s">
        <v>42</v>
      </c>
      <c r="C24" s="8">
        <v>25</v>
      </c>
      <c r="D24" s="11" t="s">
        <v>76</v>
      </c>
      <c r="E24" s="8">
        <v>50</v>
      </c>
      <c r="F24" s="11" t="s">
        <v>140</v>
      </c>
      <c r="G24" s="21">
        <v>50</v>
      </c>
      <c r="H24" s="11" t="s">
        <v>141</v>
      </c>
      <c r="I24" s="11">
        <v>75</v>
      </c>
      <c r="J24" s="11" t="s">
        <v>226</v>
      </c>
      <c r="K24" s="8"/>
      <c r="L24" s="11"/>
      <c r="M24" s="8">
        <v>65</v>
      </c>
      <c r="N24" s="11" t="s">
        <v>255</v>
      </c>
      <c r="O24" s="11">
        <v>70</v>
      </c>
      <c r="P24" s="11" t="s">
        <v>270</v>
      </c>
      <c r="Q24" s="11"/>
      <c r="R24" s="11"/>
      <c r="S24" s="11"/>
      <c r="T24" s="11"/>
      <c r="U24" s="29">
        <v>80</v>
      </c>
      <c r="V24" s="11" t="s">
        <v>350</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8">
        <f t="shared" si="1"/>
        <v>59.285714285714285</v>
      </c>
      <c r="BH24" s="12" t="str" cm="1">
        <f t="array" ref="BH24">_xlfn.TEXTJOIN(" ", TRUE, _xlfn._xlws.FILTER(C24:BF24, MOD(COLUMN(C24:BF24)-COLUMN(BJ24),2)=0))</f>
        <v>AVERAGE PARTICIPATION GOOD IN SHADING CAN IMPROVE TRYING TO SIMPLIFY THE FIGURE DEPICTING THE RANGE OF VALUES FROME LIGHT SHADOW DOING GOOD NEED TO FOLLOW PROPER MEASUREMENT PROPORTION OF THE FIGURE IS ACCURATE  SHOWING WILLINGNESS IN DRAWING</v>
      </c>
      <c r="BI24" s="8"/>
      <c r="BJ24" s="11"/>
      <c r="BK24" s="8"/>
      <c r="BL24" s="11"/>
      <c r="BM24" s="8"/>
      <c r="BN24" s="11"/>
    </row>
    <row r="25" spans="1:66" ht="14.35" customHeight="1" x14ac:dyDescent="0.45">
      <c r="A25" s="32"/>
      <c r="B25" s="8" t="s">
        <v>43</v>
      </c>
      <c r="C25" s="8">
        <v>50</v>
      </c>
      <c r="D25" s="11" t="s">
        <v>72</v>
      </c>
      <c r="E25" s="8">
        <v>50</v>
      </c>
      <c r="F25" s="11" t="s">
        <v>106</v>
      </c>
      <c r="G25" s="8">
        <v>50</v>
      </c>
      <c r="H25" s="11" t="s">
        <v>100</v>
      </c>
      <c r="I25" s="11"/>
      <c r="J25" s="11" t="s">
        <v>163</v>
      </c>
      <c r="K25" s="8"/>
      <c r="L25" s="11"/>
      <c r="M25" s="8">
        <v>50</v>
      </c>
      <c r="N25" s="11" t="s">
        <v>250</v>
      </c>
      <c r="O25" s="11"/>
      <c r="P25" s="11"/>
      <c r="Q25" s="11">
        <v>50</v>
      </c>
      <c r="R25" s="11" t="s">
        <v>295</v>
      </c>
      <c r="S25" s="11">
        <v>60</v>
      </c>
      <c r="T25" s="11" t="s">
        <v>311</v>
      </c>
      <c r="U25" s="29">
        <v>80</v>
      </c>
      <c r="V25" s="11" t="s">
        <v>381</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8">
        <f t="shared" si="1"/>
        <v>55.714285714285715</v>
      </c>
      <c r="BH25" s="12" t="str" cm="1">
        <f t="array" ref="BH25">_xlfn.TEXTJOIN(" ", TRUE, _xlfn._xlws.FILTER(C25:BF25, MOD(COLUMN(C25:BF25)-COLUMN(BJ25),2)=0))</f>
        <v>GOOD IN READING CAN IMPROVE MORE DOING GOOD BUT NEED TO CONCENTRATE AVERAGE PARTCIPATION CLASS CANCELED GOOD IN READING BUT NEED TO FOCUS INTERRESTED IN READING (COMIC)BOOKS,BUT NEED TO FOCUS WELL EXPLAINED&amp;CONFIDENT AT SYING,BUT NEED TO IMPROVE VOCABULARY PREFER MORAL STORIES TO READ</v>
      </c>
      <c r="BI25" s="8"/>
      <c r="BJ25" s="11"/>
      <c r="BK25" s="8"/>
      <c r="BL25" s="11"/>
      <c r="BM25" s="8"/>
      <c r="BN25" s="11"/>
    </row>
    <row r="26" spans="1:66" ht="14.35" customHeight="1" x14ac:dyDescent="0.45">
      <c r="A26" s="33"/>
      <c r="B26" s="8" t="s">
        <v>44</v>
      </c>
      <c r="C26" s="8"/>
      <c r="D26" s="11"/>
      <c r="E26" s="8"/>
      <c r="F26" s="11"/>
      <c r="G26" s="8"/>
      <c r="H26" s="11"/>
      <c r="I26" s="11"/>
      <c r="J26" s="11"/>
      <c r="K26" s="11"/>
      <c r="L26" s="11"/>
      <c r="M26" s="8"/>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8" t="str">
        <f t="shared" si="1"/>
        <v/>
      </c>
      <c r="BH26" s="12" t="str" cm="1">
        <f t="array" ref="BH26">_xlfn.TEXTJOIN(" ", TRUE, _xlfn._xlws.FILTER(C26:BF26, MOD(COLUMN(C26:BF26)-COLUMN(BJ26),2)=0))</f>
        <v/>
      </c>
      <c r="BI26" s="8"/>
      <c r="BJ26" s="11"/>
      <c r="BK26" s="8"/>
      <c r="BL26" s="11"/>
      <c r="BM26" s="8"/>
      <c r="BN26" s="11"/>
    </row>
    <row r="27" spans="1:66" ht="14.35" customHeight="1" x14ac:dyDescent="0.45">
      <c r="A27" s="31" t="s">
        <v>48</v>
      </c>
      <c r="B27" s="8" t="s">
        <v>39</v>
      </c>
      <c r="C27" s="8"/>
      <c r="D27" s="11"/>
      <c r="E27" s="8"/>
      <c r="F27" s="11"/>
      <c r="G27" s="8"/>
      <c r="H27" s="11"/>
      <c r="I27" s="11"/>
      <c r="J27" s="11"/>
      <c r="K27" s="22">
        <v>85</v>
      </c>
      <c r="L27" s="11" t="s">
        <v>241</v>
      </c>
      <c r="M27" s="8"/>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8">
        <f t="shared" si="1"/>
        <v>85</v>
      </c>
      <c r="BH27" s="12" t="str" cm="1">
        <f t="array" ref="BH27">_xlfn.TEXTJOIN(" ", TRUE, _xlfn._xlws.FILTER(C27:BF27, MOD(COLUMN(C27:BF27)-COLUMN(BJ27),2)=0))</f>
        <v>INTERESTED IN PHYSIC</v>
      </c>
      <c r="BI27" s="8"/>
      <c r="BJ27" s="11"/>
      <c r="BK27" s="8"/>
      <c r="BL27" s="11"/>
      <c r="BM27" s="8"/>
      <c r="BN27" s="11"/>
    </row>
    <row r="28" spans="1:66" ht="14.35" customHeight="1" x14ac:dyDescent="0.45">
      <c r="A28" s="32"/>
      <c r="B28" s="8" t="s">
        <v>40</v>
      </c>
      <c r="C28" s="8">
        <v>50</v>
      </c>
      <c r="D28" s="11" t="s">
        <v>104</v>
      </c>
      <c r="E28" s="15">
        <v>65</v>
      </c>
      <c r="F28" s="11" t="s">
        <v>104</v>
      </c>
      <c r="G28" s="8">
        <v>75</v>
      </c>
      <c r="H28" s="11" t="s">
        <v>127</v>
      </c>
      <c r="I28" s="22">
        <v>85</v>
      </c>
      <c r="J28" s="11" t="s">
        <v>222</v>
      </c>
      <c r="K28" s="22">
        <v>85</v>
      </c>
      <c r="L28" s="11" t="s">
        <v>242</v>
      </c>
      <c r="M28" s="17">
        <v>85</v>
      </c>
      <c r="N28" s="11" t="s">
        <v>222</v>
      </c>
      <c r="O28" s="11"/>
      <c r="P28" s="11"/>
      <c r="Q28" s="11"/>
      <c r="R28" s="11"/>
      <c r="S28" s="11"/>
      <c r="T28" s="11"/>
      <c r="U28" s="26">
        <v>85</v>
      </c>
      <c r="V28" s="11" t="s">
        <v>383</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8">
        <f t="shared" si="1"/>
        <v>75.714285714285708</v>
      </c>
      <c r="BH28" s="12" t="str" cm="1">
        <f t="array" ref="BH28">_xlfn.TEXTJOIN(" ", TRUE, _xlfn._xlws.FILTER(C28:BF28, MOD(COLUMN(C28:BF28)-COLUMN(BJ28),2)=0))</f>
        <v>GOOD IN SHUTTLE GOOD IN SHUTTLE GOOD IN FOOTBALL PLAYING WELL SHUTTLE INTERESTED IN PLAYING CRICKET PLAYING WELL SHUTTLE INTERESTED IN FOOTBALL,VOLLEYBALL&amp;RUNNING</v>
      </c>
      <c r="BI28" s="8"/>
      <c r="BJ28" s="11"/>
      <c r="BK28" s="8"/>
      <c r="BL28" s="11"/>
      <c r="BM28" s="8"/>
      <c r="BN28" s="11"/>
    </row>
    <row r="29" spans="1:66" ht="14.35" customHeight="1" x14ac:dyDescent="0.45">
      <c r="A29" s="32"/>
      <c r="B29" s="8" t="s">
        <v>41</v>
      </c>
      <c r="C29" s="8">
        <v>75</v>
      </c>
      <c r="D29" s="11" t="s">
        <v>103</v>
      </c>
      <c r="E29" s="15">
        <v>65</v>
      </c>
      <c r="F29" s="11" t="s">
        <v>129</v>
      </c>
      <c r="G29" s="8">
        <v>75</v>
      </c>
      <c r="H29" s="11" t="s">
        <v>103</v>
      </c>
      <c r="I29" s="11">
        <v>75</v>
      </c>
      <c r="J29" s="11" t="s">
        <v>223</v>
      </c>
      <c r="K29" s="11">
        <v>90</v>
      </c>
      <c r="L29" s="11" t="s">
        <v>243</v>
      </c>
      <c r="M29" s="8">
        <v>75</v>
      </c>
      <c r="N29" s="11" t="s">
        <v>223</v>
      </c>
      <c r="O29" s="11"/>
      <c r="P29" s="11"/>
      <c r="Q29" s="11"/>
      <c r="R29" s="11"/>
      <c r="S29" s="11"/>
      <c r="T29" s="11"/>
      <c r="U29" s="11">
        <v>75</v>
      </c>
      <c r="V29" s="11" t="s">
        <v>343</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8">
        <f t="shared" si="1"/>
        <v>75.714285714285708</v>
      </c>
      <c r="BH29" s="12" t="str" cm="1">
        <f t="array" ref="BH29">_xlfn.TEXTJOIN(" ", TRUE, _xlfn._xlws.FILTER(C29:BF29, MOD(COLUMN(C29:BF29)-COLUMN(BJ29),2)=0))</f>
        <v>SHOWING INTEREST BUT NEED PRACTICE PERFORMING WELL NEED PRACTISE SHOWING INTEREST BUT NEED PRACTICE ANSWERING WELL ACTIVE PARTICEPATION INTERESTED IN DRAWING CARTOON CHARATERS ANSWERING WELL ACTIVE PARTICEPATION JUST LEARNING BASIC SKILLS</v>
      </c>
      <c r="BI29" s="8"/>
      <c r="BJ29" s="11"/>
      <c r="BK29" s="8"/>
      <c r="BL29" s="11"/>
      <c r="BM29" s="8"/>
      <c r="BN29" s="11"/>
    </row>
    <row r="30" spans="1:66" ht="14.35" customHeight="1" x14ac:dyDescent="0.45">
      <c r="A30" s="32"/>
      <c r="B30" s="8" t="s">
        <v>42</v>
      </c>
      <c r="C30" s="8">
        <v>25</v>
      </c>
      <c r="D30" s="11" t="s">
        <v>81</v>
      </c>
      <c r="E30" s="8">
        <v>50</v>
      </c>
      <c r="F30" s="11" t="s">
        <v>142</v>
      </c>
      <c r="G30" s="15">
        <v>65</v>
      </c>
      <c r="H30" s="11" t="s">
        <v>143</v>
      </c>
      <c r="I30" s="11">
        <v>75</v>
      </c>
      <c r="J30" s="11" t="s">
        <v>227</v>
      </c>
      <c r="K30" s="11">
        <v>75</v>
      </c>
      <c r="L30" s="11" t="s">
        <v>244</v>
      </c>
      <c r="M30" s="8">
        <v>65</v>
      </c>
      <c r="N30" s="11" t="s">
        <v>137</v>
      </c>
      <c r="O30" s="11">
        <v>70</v>
      </c>
      <c r="P30" s="11" t="s">
        <v>271</v>
      </c>
      <c r="Q30" s="11"/>
      <c r="R30" s="11"/>
      <c r="S30" s="11"/>
      <c r="T30" s="11"/>
      <c r="U30" s="29">
        <v>80</v>
      </c>
      <c r="V30" s="11" t="s">
        <v>350</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8">
        <f t="shared" si="1"/>
        <v>63.125</v>
      </c>
      <c r="BH30" s="12" t="str" cm="1">
        <f t="array" ref="BH30">_xlfn.TEXTJOIN(" ", TRUE, _xlfn._xlws.FILTER(C30:BF30, MOD(COLUMN(C30:BF30)-COLUMN(BJ30),2)=0))</f>
        <v>NEAUTRAL  PARTICIPATION UTILIZING THE LINES NEATLY INVOLVES ESTABLISHING A LIGHT SOURCE ILLUMINATES THE SHADOW AREA OF THE OBJECT INTERESTED IN READING ADVENTURES&amp;HORROR BOOKS SIMPLIFYING THE CONTOUR WELL CREATING DIMENSIONAL DEPTH ON THE SURFACE SHOWING WILLINGNESS IN DRAWING</v>
      </c>
      <c r="BI30" s="8"/>
      <c r="BJ30" s="11"/>
      <c r="BK30" s="8"/>
      <c r="BL30" s="11"/>
      <c r="BM30" s="8"/>
      <c r="BN30" s="11"/>
    </row>
    <row r="31" spans="1:66" ht="14.35" customHeight="1" x14ac:dyDescent="0.45">
      <c r="A31" s="32"/>
      <c r="B31" s="8" t="s">
        <v>43</v>
      </c>
      <c r="C31" s="8">
        <v>50</v>
      </c>
      <c r="D31" s="11" t="s">
        <v>76</v>
      </c>
      <c r="E31" s="8" t="s">
        <v>82</v>
      </c>
      <c r="F31" s="11" t="s">
        <v>83</v>
      </c>
      <c r="G31" s="8">
        <v>25</v>
      </c>
      <c r="H31" s="11" t="s">
        <v>122</v>
      </c>
      <c r="I31" s="11"/>
      <c r="J31" s="11" t="s">
        <v>163</v>
      </c>
      <c r="K31" s="11">
        <v>80</v>
      </c>
      <c r="L31" s="11" t="s">
        <v>245</v>
      </c>
      <c r="M31" s="8">
        <v>25</v>
      </c>
      <c r="N31" s="11" t="s">
        <v>121</v>
      </c>
      <c r="O31" s="11"/>
      <c r="P31" s="11"/>
      <c r="Q31" s="11" t="s">
        <v>82</v>
      </c>
      <c r="R31" s="11" t="s">
        <v>82</v>
      </c>
      <c r="S31" s="11">
        <v>55</v>
      </c>
      <c r="T31" s="11" t="s">
        <v>312</v>
      </c>
      <c r="U31" s="29">
        <v>80</v>
      </c>
      <c r="V31" s="11" t="s">
        <v>384</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8">
        <f t="shared" si="1"/>
        <v>52.5</v>
      </c>
      <c r="BH31" s="12" t="str" cm="1">
        <f t="array" ref="BH31">_xlfn.TEXTJOIN(" ", TRUE, _xlfn._xlws.FILTER(C31:BF31, MOD(COLUMN(C31:BF31)-COLUMN(BJ31),2)=0))</f>
        <v>AVERAGE PARTICIPATION ABSENT JUST PATCIPATION CLASS CANCELED DRAWING WELL CARTOON PICTURES NEAUTRAL PARTCIPATION AB NEED TO FOCUSED,GOOD AT EXPLANATION,CAN IMPROVE IN BUILDING STORY LINE PREFER TO READ COMIC BOOKS</v>
      </c>
      <c r="BI31" s="8"/>
      <c r="BJ31" s="11"/>
      <c r="BK31" s="8"/>
      <c r="BL31" s="11"/>
      <c r="BM31" s="8"/>
      <c r="BN31" s="11"/>
    </row>
    <row r="32" spans="1:66" ht="14.35" customHeight="1" x14ac:dyDescent="0.45">
      <c r="A32" s="33"/>
      <c r="B32" s="8" t="s">
        <v>44</v>
      </c>
      <c r="C32" s="8"/>
      <c r="D32" s="11"/>
      <c r="E32" s="8"/>
      <c r="F32" s="11"/>
      <c r="G32" s="8"/>
      <c r="H32" s="11"/>
      <c r="I32" s="11"/>
      <c r="J32" s="11"/>
      <c r="K32" s="11"/>
      <c r="L32" s="11"/>
      <c r="M32" s="8"/>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8" t="str">
        <f t="shared" si="1"/>
        <v/>
      </c>
      <c r="BH32" s="12" t="str" cm="1">
        <f t="array" ref="BH32">_xlfn.TEXTJOIN(" ", TRUE, _xlfn._xlws.FILTER(C32:BF32, MOD(COLUMN(C32:BF32)-COLUMN(BJ32),2)=0))</f>
        <v/>
      </c>
      <c r="BI32" s="8"/>
      <c r="BJ32" s="11"/>
      <c r="BK32" s="8"/>
      <c r="BL32" s="11"/>
      <c r="BM32" s="8"/>
      <c r="BN32" s="11"/>
    </row>
    <row r="33" spans="1:66" ht="14.35" customHeight="1" x14ac:dyDescent="0.45">
      <c r="A33" s="31" t="s">
        <v>49</v>
      </c>
      <c r="B33" s="8" t="s">
        <v>39</v>
      </c>
      <c r="C33" s="8"/>
      <c r="D33" s="11"/>
      <c r="E33" s="8"/>
      <c r="F33" s="11"/>
      <c r="G33" s="8"/>
      <c r="H33" s="11"/>
      <c r="I33" s="11"/>
      <c r="J33" s="11"/>
      <c r="K33" s="15">
        <v>65</v>
      </c>
      <c r="L33" s="11" t="s">
        <v>168</v>
      </c>
      <c r="M33" s="8"/>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8">
        <f t="shared" si="1"/>
        <v>65</v>
      </c>
      <c r="BH33" s="12" t="str" cm="1">
        <f t="array" ref="BH33">_xlfn.TEXTJOIN(" ", TRUE, _xlfn._xlws.FILTER(C33:BF33, MOD(COLUMN(C33:BF33)-COLUMN(BJ33),2)=0))</f>
        <v>INTERESTED IN BIOLOGY</v>
      </c>
      <c r="BI33" s="8"/>
      <c r="BJ33" s="11"/>
      <c r="BK33" s="8"/>
      <c r="BL33" s="11"/>
      <c r="BM33" s="8"/>
      <c r="BN33" s="11"/>
    </row>
    <row r="34" spans="1:66" ht="14.35" customHeight="1" x14ac:dyDescent="0.45">
      <c r="A34" s="32"/>
      <c r="B34" s="8" t="s">
        <v>40</v>
      </c>
      <c r="C34" s="8">
        <v>50</v>
      </c>
      <c r="D34" s="11" t="s">
        <v>104</v>
      </c>
      <c r="E34" s="15">
        <v>65</v>
      </c>
      <c r="F34" s="11" t="s">
        <v>104</v>
      </c>
      <c r="G34" s="8">
        <v>75</v>
      </c>
      <c r="H34" s="11" t="s">
        <v>127</v>
      </c>
      <c r="I34" s="22">
        <v>85</v>
      </c>
      <c r="J34" s="11" t="s">
        <v>222</v>
      </c>
      <c r="K34" s="8">
        <v>75</v>
      </c>
      <c r="L34" s="11" t="s">
        <v>183</v>
      </c>
      <c r="M34" s="17">
        <v>85</v>
      </c>
      <c r="N34" s="11" t="s">
        <v>222</v>
      </c>
      <c r="O34" s="11"/>
      <c r="P34" s="11"/>
      <c r="Q34" s="11"/>
      <c r="R34" s="11"/>
      <c r="S34" s="11"/>
      <c r="T34" s="11"/>
      <c r="U34" s="26">
        <v>85</v>
      </c>
      <c r="V34" s="11" t="s">
        <v>385</v>
      </c>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8">
        <f t="shared" si="1"/>
        <v>74.285714285714292</v>
      </c>
      <c r="BH34" s="12" t="str" cm="1">
        <f t="array" ref="BH34">_xlfn.TEXTJOIN(" ", TRUE, _xlfn._xlws.FILTER(C34:BF34, MOD(COLUMN(C34:BF34)-COLUMN(BJ34),2)=0))</f>
        <v>GOOD IN SHUTTLE GOOD IN SHUTTLE GOOD IN FOOTBALL PLAYING WELL SHUTTLE INTERESTED IN CRICKET PLAYING WELL SHUTTLE INTERESTED IN FOOTBALL&amp;CRICKET LIKES TO PLAY BATTING</v>
      </c>
      <c r="BI34" s="8"/>
      <c r="BJ34" s="11"/>
      <c r="BK34" s="8"/>
      <c r="BL34" s="11"/>
      <c r="BM34" s="8"/>
      <c r="BN34" s="11"/>
    </row>
    <row r="35" spans="1:66" ht="14.35" customHeight="1" x14ac:dyDescent="0.45">
      <c r="A35" s="32"/>
      <c r="B35" s="8" t="s">
        <v>41</v>
      </c>
      <c r="C35" s="8">
        <v>75</v>
      </c>
      <c r="D35" s="11" t="s">
        <v>103</v>
      </c>
      <c r="E35" s="15">
        <v>65</v>
      </c>
      <c r="F35" s="11" t="s">
        <v>129</v>
      </c>
      <c r="G35" s="8">
        <v>75</v>
      </c>
      <c r="H35" s="11" t="s">
        <v>103</v>
      </c>
      <c r="I35" s="11">
        <v>75</v>
      </c>
      <c r="J35" s="11" t="s">
        <v>223</v>
      </c>
      <c r="K35" s="8">
        <v>75</v>
      </c>
      <c r="L35" s="11" t="s">
        <v>170</v>
      </c>
      <c r="M35" s="8">
        <v>75</v>
      </c>
      <c r="N35" s="11" t="s">
        <v>223</v>
      </c>
      <c r="O35" s="11"/>
      <c r="P35" s="11"/>
      <c r="Q35" s="11"/>
      <c r="R35" s="11"/>
      <c r="S35" s="11"/>
      <c r="T35" s="11"/>
      <c r="U35" s="11">
        <v>75</v>
      </c>
      <c r="V35" s="11" t="s">
        <v>343</v>
      </c>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8">
        <f t="shared" si="1"/>
        <v>73.571428571428569</v>
      </c>
      <c r="BH35" s="12" t="str" cm="1">
        <f t="array" ref="BH35">_xlfn.TEXTJOIN(" ", TRUE, _xlfn._xlws.FILTER(C35:BF35, MOD(COLUMN(C35:BF35)-COLUMN(BJ35),2)=0))</f>
        <v>SHOWING INTEREST BUT NEED PRACTICE PERFORMING WELL NEED PRACTISE SHOWING INTEREST BUT NEED PRACTICE ANSWERING WELL ACTIVE PARTICEPATION INTERESTED IN TYPING ANSWERING WELL ACTIVE PARTICEPATION JUST LEARNING BASIC SKILLS</v>
      </c>
      <c r="BI35" s="8"/>
      <c r="BJ35" s="11"/>
      <c r="BK35" s="8"/>
      <c r="BL35" s="11"/>
      <c r="BM35" s="8"/>
      <c r="BN35" s="11"/>
    </row>
    <row r="36" spans="1:66" ht="14.35" customHeight="1" x14ac:dyDescent="0.45">
      <c r="A36" s="32"/>
      <c r="B36" s="8" t="s">
        <v>42</v>
      </c>
      <c r="C36" s="8">
        <v>25</v>
      </c>
      <c r="D36" s="11" t="s">
        <v>92</v>
      </c>
      <c r="E36" s="8">
        <v>75</v>
      </c>
      <c r="F36" s="11" t="s">
        <v>144</v>
      </c>
      <c r="G36" s="15">
        <v>65</v>
      </c>
      <c r="H36" s="11" t="s">
        <v>139</v>
      </c>
      <c r="I36" s="23">
        <v>65</v>
      </c>
      <c r="J36" s="11" t="s">
        <v>228</v>
      </c>
      <c r="K36" s="8"/>
      <c r="L36" s="11"/>
      <c r="M36" s="8">
        <v>25</v>
      </c>
      <c r="N36" s="11" t="s">
        <v>160</v>
      </c>
      <c r="O36" s="11">
        <v>75</v>
      </c>
      <c r="P36" s="11" t="s">
        <v>272</v>
      </c>
      <c r="Q36" s="11"/>
      <c r="R36" s="11"/>
      <c r="S36" s="11"/>
      <c r="T36" s="11"/>
      <c r="U36" s="29">
        <v>80</v>
      </c>
      <c r="V36" s="11" t="s">
        <v>350</v>
      </c>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8">
        <f t="shared" ref="BG36:BG67" si="2">IFERROR(AVERAGEIF(C36:BE36,"&lt;&gt;nill"), "")</f>
        <v>58.571428571428569</v>
      </c>
      <c r="BH36" s="12" t="str" cm="1">
        <f t="array" ref="BH36">_xlfn.TEXTJOIN(" ", TRUE, _xlfn._xlws.FILTER(C36:BF36, MOD(COLUMN(C36:BF36)-COLUMN(BJ36),2)=0))</f>
        <v>JUST PARTICIPATING PROPORTION OF THE FIGURE IS ACCURATE AND NEAT EVALUATING THE SHADING WELL ACTIVE PARTICEPATION NEED PRACTICE NEUTRAL PARTICIPATION PERFORMING WELL NEED TO CHECK THE CURVES SHOWING WILLINGNESS IN DRAWING</v>
      </c>
      <c r="BI36" s="8"/>
      <c r="BJ36" s="11"/>
      <c r="BK36" s="8"/>
      <c r="BL36" s="11"/>
      <c r="BM36" s="8"/>
      <c r="BN36" s="11"/>
    </row>
    <row r="37" spans="1:66" ht="14.35" customHeight="1" x14ac:dyDescent="0.45">
      <c r="A37" s="32"/>
      <c r="B37" s="8" t="s">
        <v>43</v>
      </c>
      <c r="C37" s="8">
        <v>50</v>
      </c>
      <c r="D37" s="11" t="s">
        <v>77</v>
      </c>
      <c r="E37" s="8" t="s">
        <v>82</v>
      </c>
      <c r="F37" s="11" t="s">
        <v>83</v>
      </c>
      <c r="G37" s="8">
        <v>50</v>
      </c>
      <c r="H37" s="11" t="s">
        <v>124</v>
      </c>
      <c r="I37" s="11"/>
      <c r="J37" s="11" t="s">
        <v>163</v>
      </c>
      <c r="K37" s="8"/>
      <c r="L37" s="11"/>
      <c r="M37" s="8">
        <v>25</v>
      </c>
      <c r="N37" s="11" t="s">
        <v>247</v>
      </c>
      <c r="O37" s="11"/>
      <c r="P37" s="11"/>
      <c r="Q37" s="11">
        <v>45</v>
      </c>
      <c r="R37" s="11" t="s">
        <v>296</v>
      </c>
      <c r="S37" s="11">
        <v>55</v>
      </c>
      <c r="T37" s="11" t="s">
        <v>313</v>
      </c>
      <c r="U37" s="29">
        <v>80</v>
      </c>
      <c r="V37" s="11" t="s">
        <v>386</v>
      </c>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8">
        <f t="shared" si="2"/>
        <v>50.833333333333336</v>
      </c>
      <c r="BH37" s="12" t="str" cm="1">
        <f t="array" ref="BH37">_xlfn.TEXTJOIN(" ", TRUE, _xlfn._xlws.FILTER(C37:BF37, MOD(COLUMN(C37:BF37)-COLUMN(BJ37),2)=0))</f>
        <v>AVERAGE PARTICIPATION NEED IMPROVE MORE ABSENT VOCABULARY IS GOOD BUT  NEED TO CONCENTRATE CLASS CANCELED JUST PARTCIPATION AVERAGE PERFORFMANCE UNABLE TO BUILD THE STORY LINE ,GOOD AT VOCAUALRY,NEED TO FOCUSED PREFER ANIMATION BOOKS TO READ</v>
      </c>
      <c r="BI37" s="8"/>
      <c r="BJ37" s="11"/>
      <c r="BK37" s="8"/>
      <c r="BL37" s="11"/>
      <c r="BM37" s="8"/>
      <c r="BN37" s="11"/>
    </row>
    <row r="38" spans="1:66" ht="14.35" customHeight="1" x14ac:dyDescent="0.45">
      <c r="A38" s="33"/>
      <c r="B38" s="8" t="s">
        <v>44</v>
      </c>
      <c r="C38" s="8"/>
      <c r="D38" s="11"/>
      <c r="E38" s="8"/>
      <c r="F38" s="11"/>
      <c r="G38" s="8"/>
      <c r="H38" s="11"/>
      <c r="I38" s="11"/>
      <c r="J38" s="11"/>
      <c r="K38" s="11"/>
      <c r="L38" s="11"/>
      <c r="M38" s="8"/>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8" t="str">
        <f t="shared" si="2"/>
        <v/>
      </c>
      <c r="BH38" s="12" t="str" cm="1">
        <f t="array" ref="BH38">_xlfn.TEXTJOIN(" ", TRUE, _xlfn._xlws.FILTER(C38:BF38, MOD(COLUMN(C38:BF38)-COLUMN(BJ38),2)=0))</f>
        <v/>
      </c>
      <c r="BI38" s="8"/>
      <c r="BJ38" s="11"/>
      <c r="BK38" s="8"/>
      <c r="BL38" s="11"/>
      <c r="BM38" s="8"/>
      <c r="BN38" s="11"/>
    </row>
    <row r="39" spans="1:66" ht="14.35" customHeight="1" x14ac:dyDescent="0.45">
      <c r="A39" s="31" t="s">
        <v>50</v>
      </c>
      <c r="B39" s="8" t="s">
        <v>39</v>
      </c>
      <c r="C39" s="8"/>
      <c r="D39" s="11"/>
      <c r="E39" s="8"/>
      <c r="F39" s="11"/>
      <c r="G39" s="8"/>
      <c r="H39" s="11"/>
      <c r="I39" s="11"/>
      <c r="J39" s="11"/>
      <c r="K39" s="8">
        <v>75</v>
      </c>
      <c r="L39" s="11" t="s">
        <v>197</v>
      </c>
      <c r="M39" s="8"/>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8">
        <f t="shared" si="2"/>
        <v>75</v>
      </c>
      <c r="BH39" s="12" t="str" cm="1">
        <f t="array" ref="BH39">_xlfn.TEXTJOIN(" ", TRUE, _xlfn._xlws.FILTER(C39:BF39, MOD(COLUMN(C39:BF39)-COLUMN(BJ39),2)=0))</f>
        <v>INTERESTED IN MATHS</v>
      </c>
      <c r="BI39" s="11"/>
      <c r="BJ39" s="11"/>
      <c r="BK39" s="8"/>
      <c r="BL39" s="11"/>
      <c r="BM39" s="11"/>
      <c r="BN39" s="11"/>
    </row>
    <row r="40" spans="1:66" ht="14.35" customHeight="1" x14ac:dyDescent="0.45">
      <c r="A40" s="32"/>
      <c r="B40" s="8" t="s">
        <v>40</v>
      </c>
      <c r="C40" s="8">
        <v>50</v>
      </c>
      <c r="D40" s="11" t="s">
        <v>104</v>
      </c>
      <c r="E40" s="15">
        <v>65</v>
      </c>
      <c r="F40" s="11" t="s">
        <v>104</v>
      </c>
      <c r="G40" s="8">
        <v>75</v>
      </c>
      <c r="H40" s="11" t="s">
        <v>127</v>
      </c>
      <c r="I40" s="22">
        <v>85</v>
      </c>
      <c r="J40" s="11" t="s">
        <v>222</v>
      </c>
      <c r="K40" s="8">
        <v>75</v>
      </c>
      <c r="L40" s="11" t="s">
        <v>207</v>
      </c>
      <c r="M40" s="17">
        <v>85</v>
      </c>
      <c r="N40" s="11" t="s">
        <v>222</v>
      </c>
      <c r="O40" s="11"/>
      <c r="P40" s="11"/>
      <c r="Q40" s="11"/>
      <c r="R40" s="11"/>
      <c r="S40" s="11"/>
      <c r="T40" s="11"/>
      <c r="U40" s="26">
        <v>85</v>
      </c>
      <c r="V40" s="11" t="s">
        <v>361</v>
      </c>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8">
        <f t="shared" si="2"/>
        <v>74.285714285714292</v>
      </c>
      <c r="BH40" s="12" t="str" cm="1">
        <f t="array" ref="BH40">_xlfn.TEXTJOIN(" ", TRUE, _xlfn._xlws.FILTER(C40:BF40, MOD(COLUMN(C40:BF40)-COLUMN(BJ40),2)=0))</f>
        <v>GOOD IN SHUTTLE GOOD IN SHUTTLE GOOD IN FOOTBALL PLAYING WELL SHUTTLE INTERESTED IN VALLEYBALL PLAYING WELL SHUTTLE INTERESTED IN CRICKET LIKES TO PLAY BATTING&amp;BOWLING</v>
      </c>
      <c r="BI40" s="11"/>
      <c r="BJ40" s="11"/>
      <c r="BK40" s="8"/>
      <c r="BL40" s="11"/>
      <c r="BM40" s="11"/>
      <c r="BN40" s="11"/>
    </row>
    <row r="41" spans="1:66" ht="14.35" customHeight="1" x14ac:dyDescent="0.45">
      <c r="A41" s="32"/>
      <c r="B41" s="8" t="s">
        <v>41</v>
      </c>
      <c r="C41" s="8">
        <v>75</v>
      </c>
      <c r="D41" s="11" t="s">
        <v>103</v>
      </c>
      <c r="E41" s="15">
        <v>65</v>
      </c>
      <c r="F41" s="11" t="s">
        <v>129</v>
      </c>
      <c r="G41" s="8">
        <v>75</v>
      </c>
      <c r="H41" s="11" t="s">
        <v>103</v>
      </c>
      <c r="I41" s="11">
        <v>75</v>
      </c>
      <c r="J41" s="11" t="s">
        <v>223</v>
      </c>
      <c r="K41" s="15">
        <v>65</v>
      </c>
      <c r="L41" s="11" t="s">
        <v>215</v>
      </c>
      <c r="M41" s="8">
        <v>75</v>
      </c>
      <c r="N41" s="11" t="s">
        <v>223</v>
      </c>
      <c r="O41" s="11"/>
      <c r="P41" s="11"/>
      <c r="Q41" s="11"/>
      <c r="R41" s="11"/>
      <c r="S41" s="11"/>
      <c r="T41" s="11"/>
      <c r="U41" s="11">
        <v>75</v>
      </c>
      <c r="V41" s="11" t="s">
        <v>343</v>
      </c>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8">
        <f t="shared" si="2"/>
        <v>72.142857142857139</v>
      </c>
      <c r="BH41" s="12" t="str" cm="1">
        <f t="array" ref="BH41">_xlfn.TEXTJOIN(" ", TRUE, _xlfn._xlws.FILTER(C41:BF41, MOD(COLUMN(C41:BF41)-COLUMN(BJ41),2)=0))</f>
        <v>SHOWING INTEREST BUT NEED PRACTICE PERFORMING WELL NEED PRACTISE SHOWING INTEREST BUT NEED PRACTICE ANSWERING WELL ACTIVE PARTICEPATION INTERESTED IN EDITING ANSWERING WELL ACTIVE PARTICEPATION JUST LEARNING BASIC SKILLS</v>
      </c>
      <c r="BI41" s="11"/>
      <c r="BJ41" s="11"/>
      <c r="BK41" s="8"/>
      <c r="BL41" s="11"/>
      <c r="BM41" s="11"/>
      <c r="BN41" s="11"/>
    </row>
    <row r="42" spans="1:66" ht="14.35" customHeight="1" x14ac:dyDescent="0.45">
      <c r="A42" s="32"/>
      <c r="B42" s="8" t="s">
        <v>42</v>
      </c>
      <c r="C42" s="8">
        <v>50</v>
      </c>
      <c r="D42" s="11" t="s">
        <v>76</v>
      </c>
      <c r="E42" s="8">
        <v>75</v>
      </c>
      <c r="F42" s="11" t="s">
        <v>145</v>
      </c>
      <c r="G42" s="15">
        <v>65</v>
      </c>
      <c r="H42" s="11" t="s">
        <v>139</v>
      </c>
      <c r="I42" s="11">
        <v>75</v>
      </c>
      <c r="J42" s="11" t="s">
        <v>229</v>
      </c>
      <c r="K42" s="8"/>
      <c r="L42" s="11"/>
      <c r="M42" s="8">
        <v>75</v>
      </c>
      <c r="N42" s="11" t="s">
        <v>137</v>
      </c>
      <c r="O42" s="11">
        <v>70</v>
      </c>
      <c r="P42" s="11" t="s">
        <v>273</v>
      </c>
      <c r="Q42" s="11"/>
      <c r="R42" s="11"/>
      <c r="S42" s="11"/>
      <c r="T42" s="11"/>
      <c r="U42" s="29">
        <v>80</v>
      </c>
      <c r="V42" s="11" t="s">
        <v>350</v>
      </c>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8">
        <f t="shared" si="2"/>
        <v>70</v>
      </c>
      <c r="BH42" s="12" t="str" cm="1">
        <f t="array" ref="BH42">_xlfn.TEXTJOIN(" ", TRUE, _xlfn._xlws.FILTER(C42:BF42, MOD(COLUMN(C42:BF42)-COLUMN(BJ42),2)=0))</f>
        <v>AVERAGE PARTICIPATION GOOD IN SHOWING VARIATION IN TONE LIKE LIGHT &amp; MEDIUM EVALUATING THE SHADING WELL USING OVERLAPPING CIRCULAR STROKES SIMPLIFYING THE CONTOUR WELL NEED TO REDUE THE PRESSURE OF THE PENCIL SHOWING WILLINGNESS IN DRAWING</v>
      </c>
      <c r="BI42" s="11"/>
      <c r="BJ42" s="11"/>
      <c r="BK42" s="8"/>
      <c r="BL42" s="11"/>
      <c r="BM42" s="11"/>
      <c r="BN42" s="11"/>
    </row>
    <row r="43" spans="1:66" ht="14.35" customHeight="1" x14ac:dyDescent="0.45">
      <c r="A43" s="32"/>
      <c r="B43" s="8" t="s">
        <v>43</v>
      </c>
      <c r="C43" s="8">
        <v>50</v>
      </c>
      <c r="D43" s="11" t="s">
        <v>77</v>
      </c>
      <c r="E43" s="8">
        <v>50</v>
      </c>
      <c r="F43" s="11" t="s">
        <v>107</v>
      </c>
      <c r="G43" s="8">
        <v>25</v>
      </c>
      <c r="H43" s="11" t="s">
        <v>122</v>
      </c>
      <c r="I43" s="11"/>
      <c r="J43" s="11" t="s">
        <v>163</v>
      </c>
      <c r="K43" s="8"/>
      <c r="L43" s="11"/>
      <c r="M43" s="8">
        <v>50</v>
      </c>
      <c r="N43" s="11" t="s">
        <v>100</v>
      </c>
      <c r="O43" s="11"/>
      <c r="P43" s="11"/>
      <c r="Q43" s="11">
        <v>50</v>
      </c>
      <c r="R43" s="11" t="s">
        <v>297</v>
      </c>
      <c r="S43" s="11">
        <v>55</v>
      </c>
      <c r="T43" s="11" t="s">
        <v>314</v>
      </c>
      <c r="U43" s="29">
        <v>80</v>
      </c>
      <c r="V43" s="11" t="s">
        <v>353</v>
      </c>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8">
        <f t="shared" si="2"/>
        <v>51.428571428571431</v>
      </c>
      <c r="BH43" s="12" t="str" cm="1">
        <f t="array" ref="BH43">_xlfn.TEXTJOIN(" ", TRUE, _xlfn._xlws.FILTER(C43:BF43, MOD(COLUMN(C43:BF43)-COLUMN(BJ43),2)=0))</f>
        <v>AVERAGE PARTICIPATION NEED IMPROVE MORE GOOD IN READING VOCABULARY BUT NEED TO CONCENTATE JUST PATCIPATION CLASS CANCELED AVERAGE PARTCIPATION GOOD IN READING BUUT NEED TO FOCUS IN VOCABULARY WELL AT EXPLANATION,DISTRACTED, NEED TO TO IMPROVE IN READING PREFER TO READ ALL KIND OF BOOKS</v>
      </c>
      <c r="BI43" s="11"/>
      <c r="BJ43" s="11"/>
      <c r="BK43" s="8"/>
      <c r="BL43" s="11"/>
      <c r="BM43" s="11"/>
      <c r="BN43" s="11"/>
    </row>
    <row r="44" spans="1:66" ht="14.35" customHeight="1" x14ac:dyDescent="0.45">
      <c r="A44" s="33"/>
      <c r="B44" s="8" t="s">
        <v>44</v>
      </c>
      <c r="C44" s="8"/>
      <c r="D44" s="11"/>
      <c r="E44" s="8"/>
      <c r="F44" s="11"/>
      <c r="G44" s="8"/>
      <c r="H44" s="11"/>
      <c r="I44" s="11"/>
      <c r="J44" s="11"/>
      <c r="K44" s="11"/>
      <c r="L44" s="11"/>
      <c r="M44" s="8"/>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8" t="str">
        <f t="shared" si="2"/>
        <v/>
      </c>
      <c r="BH44" s="12" t="str" cm="1">
        <f t="array" ref="BH44">_xlfn.TEXTJOIN(" ", TRUE, _xlfn._xlws.FILTER(C44:BF44, MOD(COLUMN(C44:BF44)-COLUMN(BJ44),2)=0))</f>
        <v/>
      </c>
      <c r="BI44" s="11"/>
      <c r="BJ44" s="11"/>
      <c r="BK44" s="8"/>
      <c r="BL44" s="11"/>
      <c r="BM44" s="11"/>
      <c r="BN44" s="11"/>
    </row>
    <row r="45" spans="1:66" ht="14.35" customHeight="1" x14ac:dyDescent="0.45">
      <c r="A45" s="31" t="s">
        <v>51</v>
      </c>
      <c r="B45" s="8" t="s">
        <v>39</v>
      </c>
      <c r="C45" s="8"/>
      <c r="D45" s="11"/>
      <c r="E45" s="8"/>
      <c r="F45" s="11"/>
      <c r="G45" s="8"/>
      <c r="H45" s="11"/>
      <c r="I45" s="11"/>
      <c r="J45" s="11"/>
      <c r="K45" s="8">
        <v>75</v>
      </c>
      <c r="L45" s="11" t="s">
        <v>208</v>
      </c>
      <c r="M45" s="8"/>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8">
        <f t="shared" si="2"/>
        <v>75</v>
      </c>
      <c r="BH45" s="12" t="str" cm="1">
        <f t="array" ref="BH45">_xlfn.TEXTJOIN(" ", TRUE, _xlfn._xlws.FILTER(C45:BF45, MOD(COLUMN(C45:BF45)-COLUMN(BJ45),2)=0))</f>
        <v>INTERESTED IN BIOLOGY, PHYSICS</v>
      </c>
      <c r="BI45" s="11"/>
      <c r="BJ45" s="11"/>
      <c r="BK45" s="8"/>
      <c r="BL45" s="11"/>
      <c r="BM45" s="11"/>
      <c r="BN45" s="11"/>
    </row>
    <row r="46" spans="1:66" ht="14.35" customHeight="1" x14ac:dyDescent="0.45">
      <c r="A46" s="32"/>
      <c r="B46" s="8" t="s">
        <v>40</v>
      </c>
      <c r="C46" s="8">
        <v>50</v>
      </c>
      <c r="D46" s="11" t="s">
        <v>104</v>
      </c>
      <c r="E46" s="15">
        <v>65</v>
      </c>
      <c r="F46" s="11" t="s">
        <v>104</v>
      </c>
      <c r="G46" s="8">
        <v>75</v>
      </c>
      <c r="H46" s="11" t="s">
        <v>127</v>
      </c>
      <c r="I46" s="22">
        <v>85</v>
      </c>
      <c r="J46" s="11" t="s">
        <v>222</v>
      </c>
      <c r="K46" s="8">
        <v>75</v>
      </c>
      <c r="L46" s="11" t="s">
        <v>216</v>
      </c>
      <c r="M46" s="17">
        <v>85</v>
      </c>
      <c r="N46" s="11" t="s">
        <v>222</v>
      </c>
      <c r="O46" s="11"/>
      <c r="P46" s="11"/>
      <c r="Q46" s="11"/>
      <c r="R46" s="11"/>
      <c r="S46" s="11"/>
      <c r="T46" s="11"/>
      <c r="U46" s="26">
        <v>85</v>
      </c>
      <c r="V46" s="11" t="s">
        <v>387</v>
      </c>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8">
        <f t="shared" si="2"/>
        <v>74.285714285714292</v>
      </c>
      <c r="BH46" s="12" t="str" cm="1">
        <f t="array" ref="BH46">_xlfn.TEXTJOIN(" ", TRUE, _xlfn._xlws.FILTER(C46:BF46, MOD(COLUMN(C46:BF46)-COLUMN(BJ46),2)=0))</f>
        <v>GOOD IN SHUTTLE GOOD IN SHUTTLE GOOD IN FOOTBALL PLAYING WELL SHUTTLE INTERESTED IN SHUTTLE PLAYING WELL SHUTTLE INTERESTED IN FOOTBALL</v>
      </c>
      <c r="BI46" s="11"/>
      <c r="BJ46" s="11"/>
      <c r="BK46" s="8"/>
      <c r="BL46" s="11"/>
      <c r="BM46" s="11"/>
      <c r="BN46" s="11"/>
    </row>
    <row r="47" spans="1:66" ht="14.35" customHeight="1" x14ac:dyDescent="0.45">
      <c r="A47" s="32"/>
      <c r="B47" s="8" t="s">
        <v>41</v>
      </c>
      <c r="C47" s="8">
        <v>75</v>
      </c>
      <c r="D47" s="11" t="s">
        <v>103</v>
      </c>
      <c r="E47" s="15">
        <v>65</v>
      </c>
      <c r="F47" s="11" t="s">
        <v>129</v>
      </c>
      <c r="G47" s="8">
        <v>75</v>
      </c>
      <c r="H47" s="11" t="s">
        <v>103</v>
      </c>
      <c r="I47" s="11">
        <v>75</v>
      </c>
      <c r="J47" s="11" t="s">
        <v>223</v>
      </c>
      <c r="K47" s="8"/>
      <c r="L47" s="11"/>
      <c r="M47" s="8">
        <v>75</v>
      </c>
      <c r="N47" s="11" t="s">
        <v>223</v>
      </c>
      <c r="O47" s="11"/>
      <c r="P47" s="11"/>
      <c r="Q47" s="11"/>
      <c r="R47" s="11"/>
      <c r="S47" s="11"/>
      <c r="T47" s="11"/>
      <c r="U47" s="11">
        <v>75</v>
      </c>
      <c r="V47" s="11" t="s">
        <v>343</v>
      </c>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8">
        <f t="shared" si="2"/>
        <v>73.333333333333329</v>
      </c>
      <c r="BH47" s="12" t="str" cm="1">
        <f t="array" ref="BH47">_xlfn.TEXTJOIN(" ", TRUE, _xlfn._xlws.FILTER(C47:BF47, MOD(COLUMN(C47:BF47)-COLUMN(BJ47),2)=0))</f>
        <v>SHOWING INTEREST BUT NEED PRACTICE PERFORMING WELL NEED PRACTISE SHOWING INTEREST BUT NEED PRACTICE ANSWERING WELL ACTIVE PARTICEPATION ANSWERING WELL ACTIVE PARTICEPATION JUST LEARNING BASIC SKILLS</v>
      </c>
      <c r="BI47" s="11"/>
      <c r="BJ47" s="11"/>
      <c r="BK47" s="8"/>
      <c r="BL47" s="11"/>
      <c r="BM47" s="11"/>
      <c r="BN47" s="11"/>
    </row>
    <row r="48" spans="1:66" ht="14.35" customHeight="1" x14ac:dyDescent="0.45">
      <c r="A48" s="32"/>
      <c r="B48" s="8" t="s">
        <v>42</v>
      </c>
      <c r="C48" s="15">
        <v>65</v>
      </c>
      <c r="D48" s="11" t="s">
        <v>98</v>
      </c>
      <c r="E48" s="8">
        <v>50</v>
      </c>
      <c r="F48" s="11" t="s">
        <v>146</v>
      </c>
      <c r="G48" s="8">
        <v>50</v>
      </c>
      <c r="H48" s="11" t="s">
        <v>139</v>
      </c>
      <c r="I48" s="11">
        <v>50</v>
      </c>
      <c r="J48" s="11" t="s">
        <v>239</v>
      </c>
      <c r="K48" s="8">
        <v>75</v>
      </c>
      <c r="L48" s="11" t="s">
        <v>217</v>
      </c>
      <c r="M48" s="8">
        <v>80</v>
      </c>
      <c r="N48" s="11" t="s">
        <v>256</v>
      </c>
      <c r="O48" s="11">
        <v>70</v>
      </c>
      <c r="P48" s="11" t="s">
        <v>274</v>
      </c>
      <c r="Q48" s="11"/>
      <c r="R48" s="11"/>
      <c r="S48" s="11"/>
      <c r="T48" s="11"/>
      <c r="U48" s="29">
        <v>80</v>
      </c>
      <c r="V48" s="11" t="s">
        <v>350</v>
      </c>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8">
        <f t="shared" si="2"/>
        <v>65</v>
      </c>
      <c r="BH48" s="12" t="str" cm="1">
        <f t="array" ref="BH48">_xlfn.TEXTJOIN(" ", TRUE, _xlfn._xlws.FILTER(C48:BF48, MOD(COLUMN(C48:BF48)-COLUMN(BJ48),2)=0))</f>
        <v>GOOD IN DOING,BUT NEED TO IMPROVE GOOD IN VISUAL COMPONENTS EVALUATING THE SHADING WELL AVERAGE PARTICEPATION NEED PRACTICE INTERESTED IN NATURE PICTURES DRAWING PROPORTION OF THE FIGURE IS ACCURATE NEED TO RECHECK THE CURVES SHOWING WILLINGNESS IN DRAWING</v>
      </c>
      <c r="BI48" s="11"/>
      <c r="BJ48" s="11"/>
      <c r="BK48" s="8"/>
      <c r="BL48" s="11"/>
      <c r="BM48" s="11"/>
      <c r="BN48" s="11"/>
    </row>
    <row r="49" spans="1:66" ht="14.35" customHeight="1" x14ac:dyDescent="0.45">
      <c r="A49" s="32"/>
      <c r="B49" s="8" t="s">
        <v>43</v>
      </c>
      <c r="C49" s="8">
        <v>50</v>
      </c>
      <c r="D49" s="11" t="s">
        <v>75</v>
      </c>
      <c r="E49" s="8" t="s">
        <v>82</v>
      </c>
      <c r="F49" s="11" t="s">
        <v>83</v>
      </c>
      <c r="G49" s="8">
        <v>25</v>
      </c>
      <c r="H49" s="11" t="s">
        <v>122</v>
      </c>
      <c r="I49" s="11"/>
      <c r="J49" s="11" t="s">
        <v>163</v>
      </c>
      <c r="K49" s="15">
        <v>65</v>
      </c>
      <c r="L49" s="11" t="s">
        <v>174</v>
      </c>
      <c r="M49" s="8">
        <v>50</v>
      </c>
      <c r="N49" s="11" t="s">
        <v>250</v>
      </c>
      <c r="O49" s="11"/>
      <c r="P49" s="11"/>
      <c r="Q49" s="11">
        <v>55</v>
      </c>
      <c r="R49" s="11" t="s">
        <v>298</v>
      </c>
      <c r="S49" s="11">
        <v>65</v>
      </c>
      <c r="T49" s="11" t="s">
        <v>315</v>
      </c>
      <c r="U49" s="29">
        <v>80</v>
      </c>
      <c r="V49" s="11" t="s">
        <v>388</v>
      </c>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8">
        <f t="shared" si="2"/>
        <v>55.714285714285715</v>
      </c>
      <c r="BH49" s="12" t="str" cm="1">
        <f t="array" ref="BH49">_xlfn.TEXTJOIN(" ", TRUE, _xlfn._xlws.FILTER(C49:BF49, MOD(COLUMN(C49:BF49)-COLUMN(BJ49),2)=0))</f>
        <v>JUST PARTICIPATION ABSENT JUST PATCIPATION CLASS CANCELED INTERESTED IN MORAL BOOKS GOOD IN READING BUT NEED TO FOCUS INTERRESTED IN NEWS PAPER READING,BUT NEED TO FOCUS WELL&amp;CONFIDENT HAD A CLEAR ATEXPLNATION,NEED TO IMPROVE VOCABULARY PREFER PANCHATANTRA STORIES TO READ</v>
      </c>
      <c r="BI49" s="11"/>
      <c r="BJ49" s="11"/>
      <c r="BK49" s="8"/>
      <c r="BL49" s="11"/>
      <c r="BM49" s="11"/>
      <c r="BN49" s="11"/>
    </row>
    <row r="50" spans="1:66" ht="14.35" customHeight="1" x14ac:dyDescent="0.45">
      <c r="A50" s="33"/>
      <c r="B50" s="8" t="s">
        <v>44</v>
      </c>
      <c r="C50" s="8"/>
      <c r="D50" s="11"/>
      <c r="E50" s="8"/>
      <c r="F50" s="11"/>
      <c r="G50" s="8"/>
      <c r="H50" s="11"/>
      <c r="I50" s="11"/>
      <c r="J50" s="11"/>
      <c r="K50" s="11"/>
      <c r="L50" s="11"/>
      <c r="M50" s="8"/>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8" t="str">
        <f t="shared" si="2"/>
        <v/>
      </c>
      <c r="BH50" s="12" t="str" cm="1">
        <f t="array" ref="BH50">_xlfn.TEXTJOIN(" ", TRUE, _xlfn._xlws.FILTER(C50:BF50, MOD(COLUMN(C50:BF50)-COLUMN(BJ50),2)=0))</f>
        <v/>
      </c>
      <c r="BI50" s="11"/>
      <c r="BJ50" s="11"/>
      <c r="BK50" s="8"/>
      <c r="BL50" s="11"/>
      <c r="BM50" s="11"/>
      <c r="BN50" s="11"/>
    </row>
    <row r="51" spans="1:66" ht="14.35" customHeight="1" x14ac:dyDescent="0.45">
      <c r="A51" s="31" t="s">
        <v>52</v>
      </c>
      <c r="B51" s="8" t="s">
        <v>39</v>
      </c>
      <c r="C51" s="8"/>
      <c r="D51" s="11"/>
      <c r="E51" s="8"/>
      <c r="F51" s="11"/>
      <c r="G51" s="8"/>
      <c r="H51" s="11"/>
      <c r="I51" s="11"/>
      <c r="J51" s="11"/>
      <c r="K51" s="8">
        <v>75</v>
      </c>
      <c r="L51" s="11" t="s">
        <v>221</v>
      </c>
      <c r="M51" s="8"/>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8">
        <f t="shared" si="2"/>
        <v>75</v>
      </c>
      <c r="BH51" s="12" t="str" cm="1">
        <f t="array" ref="BH51">_xlfn.TEXTJOIN(" ", TRUE, _xlfn._xlws.FILTER(C51:BF51, MOD(COLUMN(C51:BF51)-COLUMN(BJ51),2)=0))</f>
        <v>INTERESTED IN BIOLOGY, PHYSICS ESPECIALLY IN MICRO ORGANISM</v>
      </c>
      <c r="BI51" s="11"/>
      <c r="BJ51" s="11"/>
      <c r="BK51" s="8"/>
      <c r="BL51" s="11"/>
      <c r="BM51" s="11"/>
      <c r="BN51" s="11"/>
    </row>
    <row r="52" spans="1:66" ht="14.35" customHeight="1" x14ac:dyDescent="0.45">
      <c r="A52" s="32"/>
      <c r="B52" s="8" t="s">
        <v>40</v>
      </c>
      <c r="C52" s="8">
        <v>50</v>
      </c>
      <c r="D52" s="11" t="s">
        <v>104</v>
      </c>
      <c r="E52" s="15">
        <v>65</v>
      </c>
      <c r="F52" s="11" t="s">
        <v>104</v>
      </c>
      <c r="G52" s="8">
        <v>75</v>
      </c>
      <c r="H52" s="11" t="s">
        <v>127</v>
      </c>
      <c r="I52" s="22">
        <v>85</v>
      </c>
      <c r="J52" s="11" t="s">
        <v>222</v>
      </c>
      <c r="K52" s="15">
        <v>65</v>
      </c>
      <c r="L52" s="11" t="s">
        <v>183</v>
      </c>
      <c r="M52" s="17">
        <v>85</v>
      </c>
      <c r="N52" s="11" t="s">
        <v>222</v>
      </c>
      <c r="O52" s="11"/>
      <c r="P52" s="11"/>
      <c r="Q52" s="11"/>
      <c r="R52" s="11"/>
      <c r="S52" s="11"/>
      <c r="T52" s="11"/>
      <c r="U52" s="27">
        <v>90</v>
      </c>
      <c r="V52" s="11" t="s">
        <v>348</v>
      </c>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8">
        <f t="shared" si="2"/>
        <v>73.571428571428569</v>
      </c>
      <c r="BH52" s="12" t="str" cm="1">
        <f t="array" ref="BH52">_xlfn.TEXTJOIN(" ", TRUE, _xlfn._xlws.FILTER(C52:BF52, MOD(COLUMN(C52:BF52)-COLUMN(BJ52),2)=0))</f>
        <v>GOOD IN SHUTTLE GOOD IN SHUTTLE GOOD IN FOOTBALL PLAYING WELL SHUTTLE INTERESTED IN CRICKET PLAYING WELL SHUTTLE INTERESTED IN CRICKET LIKES TO PLAY FEILDING</v>
      </c>
      <c r="BI52" s="11"/>
      <c r="BJ52" s="11"/>
      <c r="BK52" s="8"/>
      <c r="BL52" s="11"/>
      <c r="BM52" s="11"/>
      <c r="BN52" s="11"/>
    </row>
    <row r="53" spans="1:66" ht="14.35" customHeight="1" x14ac:dyDescent="0.45">
      <c r="A53" s="32"/>
      <c r="B53" s="8" t="s">
        <v>41</v>
      </c>
      <c r="C53" s="8">
        <v>75</v>
      </c>
      <c r="D53" s="11" t="s">
        <v>103</v>
      </c>
      <c r="E53" s="15">
        <v>65</v>
      </c>
      <c r="F53" s="11" t="s">
        <v>129</v>
      </c>
      <c r="G53" s="8">
        <v>75</v>
      </c>
      <c r="H53" s="11" t="s">
        <v>103</v>
      </c>
      <c r="I53" s="11">
        <v>75</v>
      </c>
      <c r="J53" s="11" t="s">
        <v>223</v>
      </c>
      <c r="K53" s="15">
        <v>65</v>
      </c>
      <c r="L53" s="11" t="s">
        <v>170</v>
      </c>
      <c r="M53" s="8">
        <v>75</v>
      </c>
      <c r="N53" s="11" t="s">
        <v>223</v>
      </c>
      <c r="O53" s="11"/>
      <c r="P53" s="11"/>
      <c r="Q53" s="11"/>
      <c r="R53" s="11"/>
      <c r="S53" s="11"/>
      <c r="T53" s="11"/>
      <c r="U53" s="27">
        <v>90</v>
      </c>
      <c r="V53" s="11" t="s">
        <v>349</v>
      </c>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8">
        <f t="shared" si="2"/>
        <v>74.285714285714292</v>
      </c>
      <c r="BH53" s="12" t="str" cm="1">
        <f t="array" ref="BH53">_xlfn.TEXTJOIN(" ", TRUE, _xlfn._xlws.FILTER(C53:BF53, MOD(COLUMN(C53:BF53)-COLUMN(BJ53),2)=0))</f>
        <v>SHOWING INTEREST BUT NEED PRACTICE PERFORMING WELL NEED PRACTISE SHOWING INTEREST BUT NEED PRACTICE ANSWERING WELL ACTIVE PARTICEPATION INTERESTED IN TYPING ANSWERING WELL ACTIVE PARTICEPATION INTERESTED IN PHOTO EDITING &amp;TYPING</v>
      </c>
      <c r="BI53" s="11"/>
      <c r="BJ53" s="11"/>
      <c r="BK53" s="8"/>
      <c r="BL53" s="11"/>
      <c r="BM53" s="11"/>
      <c r="BN53" s="11"/>
    </row>
    <row r="54" spans="1:66" ht="14.35" customHeight="1" x14ac:dyDescent="0.45">
      <c r="A54" s="32"/>
      <c r="B54" s="8" t="s">
        <v>42</v>
      </c>
      <c r="C54" s="8">
        <v>50</v>
      </c>
      <c r="D54" s="11" t="s">
        <v>100</v>
      </c>
      <c r="E54" s="8">
        <v>50</v>
      </c>
      <c r="F54" s="11" t="s">
        <v>134</v>
      </c>
      <c r="G54" s="8">
        <v>50</v>
      </c>
      <c r="H54" s="11" t="s">
        <v>141</v>
      </c>
      <c r="I54" s="23">
        <v>65</v>
      </c>
      <c r="J54" s="11" t="s">
        <v>149</v>
      </c>
      <c r="K54" s="8"/>
      <c r="L54" s="11"/>
      <c r="M54" s="8">
        <v>75</v>
      </c>
      <c r="N54" s="11" t="s">
        <v>142</v>
      </c>
      <c r="O54" s="11">
        <v>75</v>
      </c>
      <c r="P54" s="11" t="s">
        <v>275</v>
      </c>
      <c r="Q54" s="11"/>
      <c r="R54" s="11"/>
      <c r="S54" s="11"/>
      <c r="T54" s="11"/>
      <c r="U54" s="26">
        <v>85</v>
      </c>
      <c r="V54" s="11" t="s">
        <v>350</v>
      </c>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8">
        <f t="shared" si="2"/>
        <v>64.285714285714292</v>
      </c>
      <c r="BH54" s="12" t="str" cm="1">
        <f t="array" ref="BH54">_xlfn.TEXTJOIN(" ", TRUE, _xlfn._xlws.FILTER(C54:BF54, MOD(COLUMN(C54:BF54)-COLUMN(BJ54),2)=0))</f>
        <v>AVERAGE PARTCIPATION NEED TO PAY ATTENTION  TRYING TO SIMPLIFY THE FIGURE NEED TO REFINE THE FIGURE UTILIZING THE LINES NEATLY CONSTRUCTIVE BALANCE OF THE FIGURE IS GOOD SHOWING WILLINGNESS IN DRAWING</v>
      </c>
      <c r="BI54" s="11"/>
      <c r="BJ54" s="11"/>
      <c r="BK54" s="8"/>
      <c r="BL54" s="11"/>
      <c r="BM54" s="11"/>
      <c r="BN54" s="11"/>
    </row>
    <row r="55" spans="1:66" ht="14.35" customHeight="1" x14ac:dyDescent="0.45">
      <c r="A55" s="32"/>
      <c r="B55" s="8" t="s">
        <v>43</v>
      </c>
      <c r="C55" s="8">
        <v>50</v>
      </c>
      <c r="D55" s="11" t="s">
        <v>75</v>
      </c>
      <c r="E55" s="8">
        <v>25</v>
      </c>
      <c r="F55" s="11" t="s">
        <v>92</v>
      </c>
      <c r="G55" s="8">
        <v>50</v>
      </c>
      <c r="H55" s="11" t="s">
        <v>125</v>
      </c>
      <c r="I55" s="11"/>
      <c r="J55" s="11" t="s">
        <v>163</v>
      </c>
      <c r="K55" s="8">
        <v>75</v>
      </c>
      <c r="L55" s="11" t="s">
        <v>178</v>
      </c>
      <c r="M55" s="8">
        <v>25</v>
      </c>
      <c r="N55" s="11" t="s">
        <v>121</v>
      </c>
      <c r="O55" s="11"/>
      <c r="P55" s="11"/>
      <c r="Q55" s="11">
        <v>55</v>
      </c>
      <c r="R55" s="11" t="s">
        <v>299</v>
      </c>
      <c r="S55" s="11">
        <v>60</v>
      </c>
      <c r="T55" s="11" t="s">
        <v>316</v>
      </c>
      <c r="U55" s="26">
        <v>85</v>
      </c>
      <c r="V55" s="11" t="s">
        <v>351</v>
      </c>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8">
        <f t="shared" si="2"/>
        <v>53.125</v>
      </c>
      <c r="BH55" s="12" t="str" cm="1">
        <f t="array" ref="BH55">_xlfn.TEXTJOIN(" ", TRUE, _xlfn._xlws.FILTER(C55:BF55, MOD(COLUMN(C55:BF55)-COLUMN(BJ55),2)=0))</f>
        <v xml:space="preserve">JUST PARTICIPATION JUST PARTICIPATING READING GOODNG CLASS CANCELED INTERESTED IN STORY BOOKS NEAUTRAL PARTCIPATION INTERESTED IN READING ,BUT NEED TO FOCUS IN PARAGRAPH INTERESTED IN READING , BUT CAN'T BUILD THE LINES NEED TO  PRATICE IN PARAGRAPH READING PREFER TO READ ANIMATION BOOKS </v>
      </c>
      <c r="BI55" s="11"/>
      <c r="BJ55" s="11"/>
      <c r="BK55" s="8"/>
      <c r="BL55" s="11"/>
      <c r="BM55" s="11"/>
      <c r="BN55" s="11"/>
    </row>
    <row r="56" spans="1:66" ht="14.35" customHeight="1" x14ac:dyDescent="0.45">
      <c r="A56" s="33"/>
      <c r="B56" s="8" t="s">
        <v>44</v>
      </c>
      <c r="C56" s="8"/>
      <c r="D56" s="11"/>
      <c r="E56" s="8"/>
      <c r="F56" s="11"/>
      <c r="G56" s="8"/>
      <c r="H56" s="11"/>
      <c r="I56" s="11"/>
      <c r="J56" s="11"/>
      <c r="K56" s="11"/>
      <c r="L56" s="11"/>
      <c r="M56" s="8"/>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8" t="str">
        <f t="shared" si="2"/>
        <v/>
      </c>
      <c r="BH56" s="12" t="str" cm="1">
        <f t="array" ref="BH56">_xlfn.TEXTJOIN(" ", TRUE, _xlfn._xlws.FILTER(C56:BF56, MOD(COLUMN(C56:BF56)-COLUMN(BJ56),2)=0))</f>
        <v/>
      </c>
      <c r="BI56" s="11"/>
      <c r="BJ56" s="11"/>
      <c r="BK56" s="8"/>
      <c r="BL56" s="11"/>
      <c r="BM56" s="11"/>
      <c r="BN56" s="11"/>
    </row>
    <row r="57" spans="1:66" ht="14.35" customHeight="1" x14ac:dyDescent="0.45">
      <c r="A57" s="31" t="s">
        <v>53</v>
      </c>
      <c r="B57" s="8" t="s">
        <v>39</v>
      </c>
      <c r="C57" s="8"/>
      <c r="D57" s="11"/>
      <c r="E57" s="8"/>
      <c r="F57" s="11"/>
      <c r="G57" s="8"/>
      <c r="H57" s="11"/>
      <c r="I57" s="11"/>
      <c r="J57" s="11"/>
      <c r="K57" s="15">
        <v>65</v>
      </c>
      <c r="L57" s="11" t="s">
        <v>168</v>
      </c>
      <c r="M57" s="8"/>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8">
        <f t="shared" si="2"/>
        <v>65</v>
      </c>
      <c r="BH57" s="12" t="str" cm="1">
        <f t="array" ref="BH57">_xlfn.TEXTJOIN(" ", TRUE, _xlfn._xlws.FILTER(C57:BF57, MOD(COLUMN(C57:BF57)-COLUMN(BJ57),2)=0))</f>
        <v>INTERESTED IN BIOLOGY</v>
      </c>
      <c r="BI57" s="11"/>
      <c r="BJ57" s="11"/>
      <c r="BK57" s="8"/>
      <c r="BL57" s="11"/>
      <c r="BM57" s="11"/>
      <c r="BN57" s="11"/>
    </row>
    <row r="58" spans="1:66" ht="14.35" customHeight="1" x14ac:dyDescent="0.45">
      <c r="A58" s="32"/>
      <c r="B58" s="8" t="s">
        <v>40</v>
      </c>
      <c r="C58" s="8">
        <v>50</v>
      </c>
      <c r="D58" s="11" t="s">
        <v>104</v>
      </c>
      <c r="E58" s="15">
        <v>65</v>
      </c>
      <c r="F58" s="11" t="s">
        <v>104</v>
      </c>
      <c r="G58" s="8">
        <v>75</v>
      </c>
      <c r="H58" s="11" t="s">
        <v>127</v>
      </c>
      <c r="I58" s="22">
        <v>85</v>
      </c>
      <c r="J58" s="11" t="s">
        <v>222</v>
      </c>
      <c r="K58" s="8">
        <v>75</v>
      </c>
      <c r="L58" s="11" t="s">
        <v>183</v>
      </c>
      <c r="M58" s="17">
        <v>85</v>
      </c>
      <c r="N58" s="11" t="s">
        <v>222</v>
      </c>
      <c r="O58" s="11"/>
      <c r="P58" s="11"/>
      <c r="Q58" s="11"/>
      <c r="R58" s="11"/>
      <c r="S58" s="11"/>
      <c r="T58" s="11"/>
      <c r="U58" s="26">
        <v>85</v>
      </c>
      <c r="V58" s="11" t="s">
        <v>339</v>
      </c>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8">
        <f t="shared" si="2"/>
        <v>74.285714285714292</v>
      </c>
      <c r="BH58" s="12" t="str" cm="1">
        <f t="array" ref="BH58">_xlfn.TEXTJOIN(" ", TRUE, _xlfn._xlws.FILTER(C58:BF58, MOD(COLUMN(C58:BF58)-COLUMN(BJ58),2)=0))</f>
        <v>GOOD IN SHUTTLE GOOD IN SHUTTLE GOOD IN FOOTBALL PLAYING WELL SHUTTLE INTERESTED IN CRICKET PLAYING WELL SHUTTLE INTERESTED IN FOOTBALL&amp;RUNNING</v>
      </c>
      <c r="BI58" s="11"/>
      <c r="BJ58" s="11"/>
      <c r="BK58" s="8"/>
      <c r="BL58" s="11"/>
      <c r="BM58" s="11"/>
      <c r="BN58" s="11"/>
    </row>
    <row r="59" spans="1:66" ht="14.35" customHeight="1" x14ac:dyDescent="0.45">
      <c r="A59" s="32"/>
      <c r="B59" s="8" t="s">
        <v>41</v>
      </c>
      <c r="C59" s="8">
        <v>75</v>
      </c>
      <c r="D59" s="11" t="s">
        <v>103</v>
      </c>
      <c r="E59" s="15">
        <v>65</v>
      </c>
      <c r="F59" s="11" t="s">
        <v>129</v>
      </c>
      <c r="G59" s="8">
        <v>75</v>
      </c>
      <c r="H59" s="11" t="s">
        <v>103</v>
      </c>
      <c r="I59" s="11">
        <v>75</v>
      </c>
      <c r="J59" s="11" t="s">
        <v>223</v>
      </c>
      <c r="K59" s="8">
        <v>75</v>
      </c>
      <c r="L59" s="11" t="s">
        <v>218</v>
      </c>
      <c r="M59" s="8">
        <v>75</v>
      </c>
      <c r="N59" s="11" t="s">
        <v>223</v>
      </c>
      <c r="O59" s="11"/>
      <c r="P59" s="11"/>
      <c r="Q59" s="11"/>
      <c r="R59" s="11"/>
      <c r="S59" s="11"/>
      <c r="T59" s="11"/>
      <c r="U59" s="26">
        <v>85</v>
      </c>
      <c r="V59" s="11" t="s">
        <v>340</v>
      </c>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8">
        <f t="shared" si="2"/>
        <v>75</v>
      </c>
      <c r="BH59" s="12" t="str" cm="1">
        <f t="array" ref="BH59">_xlfn.TEXTJOIN(" ", TRUE, _xlfn._xlws.FILTER(C59:BF59, MOD(COLUMN(C59:BF59)-COLUMN(BJ59),2)=0))</f>
        <v>SHOWING INTEREST BUT NEED PRACTICE PERFORMING WELL NEED PRACTISE SHOWING INTEREST BUT NEED PRACTICE ANSWERING WELL ACTIVE PARTICEPATION INTERESTED DRAWINGS IN COMPUTER ANSWERING WELL ACTIVE PARTICEPATION BASIC SKILLS LIKE TYPING</v>
      </c>
      <c r="BI59" s="11"/>
      <c r="BJ59" s="11"/>
      <c r="BK59" s="8"/>
      <c r="BL59" s="11"/>
      <c r="BM59" s="11"/>
      <c r="BN59" s="11"/>
    </row>
    <row r="60" spans="1:66" ht="14.35" customHeight="1" x14ac:dyDescent="0.45">
      <c r="A60" s="32"/>
      <c r="B60" s="8" t="s">
        <v>42</v>
      </c>
      <c r="C60" s="8">
        <v>75</v>
      </c>
      <c r="D60" s="11" t="s">
        <v>130</v>
      </c>
      <c r="E60" s="8">
        <v>50</v>
      </c>
      <c r="F60" s="11" t="s">
        <v>147</v>
      </c>
      <c r="G60" s="8">
        <v>50</v>
      </c>
      <c r="H60" s="11" t="s">
        <v>140</v>
      </c>
      <c r="I60" s="11">
        <v>50</v>
      </c>
      <c r="J60" s="11" t="s">
        <v>240</v>
      </c>
      <c r="K60" s="8"/>
      <c r="L60" s="11"/>
      <c r="M60" s="8">
        <v>70</v>
      </c>
      <c r="N60" s="11" t="s">
        <v>257</v>
      </c>
      <c r="O60" s="11">
        <v>75</v>
      </c>
      <c r="P60" s="11" t="s">
        <v>276</v>
      </c>
      <c r="Q60" s="11"/>
      <c r="R60" s="11"/>
      <c r="S60" s="11"/>
      <c r="T60" s="11"/>
      <c r="U60" s="26">
        <v>85</v>
      </c>
      <c r="V60" s="11" t="s">
        <v>146</v>
      </c>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8">
        <f t="shared" si="2"/>
        <v>65</v>
      </c>
      <c r="BH60" s="12" t="str" cm="1">
        <f t="array" ref="BH60">_xlfn.TEXTJOIN(" ", TRUE, _xlfn._xlws.FILTER(C60:BF60, MOD(COLUMN(C60:BF60)-COLUMN(BJ60),2)=0))</f>
        <v xml:space="preserve"> EXCELENT IN UNDERSTANDING WHAT IS THE TOPIC ,AND GOOD IMAGINATION WHILE READING  NEED TO FOCUS ON VISUAL GOOD IN SHADING CAN IMPROVE PERFORMING WELL NEED PRACTICE GOOD IN PERFORMING NEED TO PRACTICE REINFORCING ACTIONABLE AREA FOR IMPROVEMENT GOOD IN VISUAL COMPONENTS</v>
      </c>
      <c r="BI60" s="11"/>
      <c r="BJ60" s="11"/>
      <c r="BK60" s="8"/>
      <c r="BL60" s="11"/>
      <c r="BM60" s="11"/>
      <c r="BN60" s="11"/>
    </row>
    <row r="61" spans="1:66" ht="14.35" customHeight="1" x14ac:dyDescent="0.45">
      <c r="A61" s="32"/>
      <c r="B61" s="8" t="s">
        <v>43</v>
      </c>
      <c r="C61" s="8">
        <v>50</v>
      </c>
      <c r="D61" s="11" t="s">
        <v>78</v>
      </c>
      <c r="E61" s="8" t="s">
        <v>82</v>
      </c>
      <c r="F61" s="11" t="s">
        <v>83</v>
      </c>
      <c r="G61" s="8">
        <v>50</v>
      </c>
      <c r="H61" s="11" t="s">
        <v>100</v>
      </c>
      <c r="I61" s="11"/>
      <c r="J61" s="11" t="s">
        <v>163</v>
      </c>
      <c r="K61" s="8"/>
      <c r="L61" s="11"/>
      <c r="M61" s="8">
        <v>50</v>
      </c>
      <c r="N61" s="11" t="s">
        <v>250</v>
      </c>
      <c r="O61" s="11"/>
      <c r="P61" s="11"/>
      <c r="Q61" s="11" t="s">
        <v>82</v>
      </c>
      <c r="R61" s="11" t="s">
        <v>82</v>
      </c>
      <c r="S61" s="11"/>
      <c r="T61" s="11"/>
      <c r="U61" s="26">
        <v>85</v>
      </c>
      <c r="V61" s="11" t="s">
        <v>341</v>
      </c>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8">
        <f t="shared" si="2"/>
        <v>58.75</v>
      </c>
      <c r="BH61" s="12" t="str" cm="1">
        <f t="array" ref="BH61">_xlfn.TEXTJOIN(" ", TRUE, _xlfn._xlws.FILTER(C61:BF61, MOD(COLUMN(C61:BF61)-COLUMN(BJ61),2)=0))</f>
        <v>AVEARAGE PARTICIPATION ABSENT AVERAGE PARTCIPATION CLASS CANCELED GOOD IN READING BUT NEED TO FOCUS AB PREFER TO READ ANIMATION BOOKS AND ALSO WANT TO IMPROVE VOCABULARY THROUGH READING BOOKS</v>
      </c>
      <c r="BI61" s="11"/>
      <c r="BJ61" s="11"/>
      <c r="BK61" s="8"/>
      <c r="BL61" s="11"/>
      <c r="BM61" s="11"/>
      <c r="BN61" s="11"/>
    </row>
    <row r="62" spans="1:66" ht="14.35" customHeight="1" x14ac:dyDescent="0.45">
      <c r="A62" s="33"/>
      <c r="B62" s="8" t="s">
        <v>44</v>
      </c>
      <c r="C62" s="8"/>
      <c r="D62" s="11"/>
      <c r="E62" s="8"/>
      <c r="F62" s="11"/>
      <c r="G62" s="8"/>
      <c r="H62" s="11"/>
      <c r="I62" s="11"/>
      <c r="J62" s="11"/>
      <c r="K62" s="11"/>
      <c r="L62" s="11"/>
      <c r="M62" s="8"/>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8" t="str">
        <f t="shared" si="2"/>
        <v/>
      </c>
      <c r="BH62" s="12" t="str" cm="1">
        <f t="array" ref="BH62">_xlfn.TEXTJOIN(" ", TRUE, _xlfn._xlws.FILTER(C62:BF62, MOD(COLUMN(C62:BF62)-COLUMN(BJ62),2)=0))</f>
        <v/>
      </c>
      <c r="BI62" s="11"/>
      <c r="BJ62" s="11"/>
      <c r="BK62" s="8"/>
      <c r="BL62" s="11"/>
      <c r="BM62" s="11"/>
      <c r="BN62" s="11"/>
    </row>
    <row r="63" spans="1:66" ht="14.35" customHeight="1" x14ac:dyDescent="0.45">
      <c r="A63" s="31" t="s">
        <v>109</v>
      </c>
      <c r="B63" s="8" t="s">
        <v>39</v>
      </c>
      <c r="C63" s="8"/>
      <c r="D63" s="11"/>
      <c r="E63" s="8"/>
      <c r="F63" s="11"/>
      <c r="G63" s="8"/>
      <c r="H63" s="11"/>
      <c r="I63" s="11"/>
      <c r="J63" s="11"/>
      <c r="K63" s="8">
        <v>75</v>
      </c>
      <c r="L63" s="11" t="s">
        <v>168</v>
      </c>
      <c r="M63" s="8"/>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8">
        <f t="shared" si="2"/>
        <v>75</v>
      </c>
      <c r="BH63" s="12" t="str" cm="1">
        <f t="array" ref="BH63">_xlfn.TEXTJOIN(" ", TRUE, _xlfn._xlws.FILTER(C63:BF63, MOD(COLUMN(C63:BF63)-COLUMN(BJ63),2)=0))</f>
        <v>INTERESTED IN BIOLOGY</v>
      </c>
      <c r="BI63" s="11"/>
      <c r="BJ63" s="11"/>
      <c r="BK63" s="8"/>
      <c r="BL63" s="11"/>
      <c r="BM63" s="11"/>
      <c r="BN63" s="11"/>
    </row>
    <row r="64" spans="1:66" ht="14.35" customHeight="1" x14ac:dyDescent="0.45">
      <c r="A64" s="32"/>
      <c r="B64" s="8" t="s">
        <v>40</v>
      </c>
      <c r="C64" s="8">
        <v>50</v>
      </c>
      <c r="D64" s="11" t="s">
        <v>104</v>
      </c>
      <c r="E64" s="15">
        <v>65</v>
      </c>
      <c r="F64" s="11" t="s">
        <v>104</v>
      </c>
      <c r="G64" s="8">
        <v>75</v>
      </c>
      <c r="H64" s="11" t="s">
        <v>127</v>
      </c>
      <c r="I64" s="22">
        <v>85</v>
      </c>
      <c r="J64" s="11" t="s">
        <v>222</v>
      </c>
      <c r="K64" s="8">
        <v>75</v>
      </c>
      <c r="L64" s="11" t="s">
        <v>211</v>
      </c>
      <c r="M64" s="17">
        <v>85</v>
      </c>
      <c r="N64" s="11" t="s">
        <v>222</v>
      </c>
      <c r="O64" s="11"/>
      <c r="P64" s="11"/>
      <c r="Q64" s="11"/>
      <c r="R64" s="11"/>
      <c r="S64" s="11"/>
      <c r="T64" s="11"/>
      <c r="U64" s="26">
        <v>85</v>
      </c>
      <c r="V64" s="11" t="s">
        <v>364</v>
      </c>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8">
        <f t="shared" si="2"/>
        <v>74.285714285714292</v>
      </c>
      <c r="BH64" s="12" t="str" cm="1">
        <f t="array" ref="BH64">_xlfn.TEXTJOIN(" ", TRUE, _xlfn._xlws.FILTER(C64:BF64, MOD(COLUMN(C64:BF64)-COLUMN(BJ64),2)=0))</f>
        <v>GOOD IN SHUTTLE GOOD IN SHUTTLE GOOD IN FOOTBALL PLAYING WELL SHUTTLE INTERESTED IN CRICKET, SHUTTLE PLAYING WELL SHUTTLE INTERESTED IN VOLLEYBALL&amp;CRICKET LIKES TO PLAY BATTING</v>
      </c>
      <c r="BI64" s="11"/>
      <c r="BJ64" s="11"/>
      <c r="BK64" s="8"/>
      <c r="BL64" s="11"/>
      <c r="BM64" s="11"/>
      <c r="BN64" s="11"/>
    </row>
    <row r="65" spans="1:66" ht="14.35" customHeight="1" x14ac:dyDescent="0.45">
      <c r="A65" s="32"/>
      <c r="B65" s="8" t="s">
        <v>41</v>
      </c>
      <c r="C65" s="8">
        <v>75</v>
      </c>
      <c r="D65" s="11" t="s">
        <v>103</v>
      </c>
      <c r="E65" s="15">
        <v>65</v>
      </c>
      <c r="F65" s="11" t="s">
        <v>129</v>
      </c>
      <c r="G65" s="8">
        <v>75</v>
      </c>
      <c r="H65" s="11" t="s">
        <v>103</v>
      </c>
      <c r="I65" s="11">
        <v>75</v>
      </c>
      <c r="J65" s="11" t="s">
        <v>223</v>
      </c>
      <c r="K65" s="8"/>
      <c r="L65" s="11"/>
      <c r="M65" s="8">
        <v>75</v>
      </c>
      <c r="N65" s="11" t="s">
        <v>223</v>
      </c>
      <c r="O65" s="11"/>
      <c r="P65" s="11"/>
      <c r="Q65" s="11"/>
      <c r="R65" s="11"/>
      <c r="S65" s="11"/>
      <c r="T65" s="11"/>
      <c r="U65" s="11">
        <v>75</v>
      </c>
      <c r="V65" s="11" t="s">
        <v>343</v>
      </c>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8">
        <f t="shared" si="2"/>
        <v>73.333333333333329</v>
      </c>
      <c r="BH65" s="12" t="str" cm="1">
        <f t="array" ref="BH65">_xlfn.TEXTJOIN(" ", TRUE, _xlfn._xlws.FILTER(C65:BF65, MOD(COLUMN(C65:BF65)-COLUMN(BJ65),2)=0))</f>
        <v>SHOWING INTEREST BUT NEED PRACTICE PERFORMING WELL NEED PRACTISE SHOWING INTEREST BUT NEED PRACTICE ANSWERING WELL ACTIVE PARTICEPATION ANSWERING WELL ACTIVE PARTICEPATION JUST LEARNING BASIC SKILLS</v>
      </c>
      <c r="BI65" s="11"/>
      <c r="BJ65" s="11"/>
      <c r="BK65" s="8"/>
      <c r="BL65" s="11"/>
      <c r="BM65" s="11"/>
      <c r="BN65" s="11"/>
    </row>
    <row r="66" spans="1:66" ht="14.35" customHeight="1" x14ac:dyDescent="0.45">
      <c r="A66" s="32"/>
      <c r="B66" s="8" t="s">
        <v>42</v>
      </c>
      <c r="C66" s="17">
        <v>85</v>
      </c>
      <c r="D66" s="11" t="s">
        <v>99</v>
      </c>
      <c r="E66" s="8">
        <v>50</v>
      </c>
      <c r="F66" s="11" t="s">
        <v>148</v>
      </c>
      <c r="G66" s="8">
        <v>50</v>
      </c>
      <c r="H66" s="11" t="s">
        <v>149</v>
      </c>
      <c r="I66" s="23">
        <v>65</v>
      </c>
      <c r="J66" s="11" t="s">
        <v>228</v>
      </c>
      <c r="K66" s="8">
        <v>75</v>
      </c>
      <c r="L66" s="11" t="s">
        <v>212</v>
      </c>
      <c r="M66" s="8">
        <v>70</v>
      </c>
      <c r="N66" s="11" t="s">
        <v>258</v>
      </c>
      <c r="O66" s="11">
        <v>70</v>
      </c>
      <c r="P66" s="11" t="s">
        <v>277</v>
      </c>
      <c r="Q66" s="11"/>
      <c r="R66" s="11"/>
      <c r="S66" s="11"/>
      <c r="T66" s="11"/>
      <c r="U66" s="29">
        <v>80</v>
      </c>
      <c r="V66" s="11" t="s">
        <v>350</v>
      </c>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8">
        <f t="shared" si="2"/>
        <v>68.125</v>
      </c>
      <c r="BH66" s="12" t="str" cm="1">
        <f t="array" ref="BH66">_xlfn.TEXTJOIN(" ", TRUE, _xlfn._xlws.FILTER(C66:BF66, MOD(COLUMN(C66:BF66)-COLUMN(BJ66),2)=0))</f>
        <v>GOOD DRAWING,WITH CONCETRATE AND NEATLY DRAWING OUTLINES,EDGES,ENJOYS WHILE DOING GOOD OBSERVATION SKILLS NEED TO REFINE THE FIGURE ACTIVE PARTICEPATION NEED PRACTICE INTERESTED IN ANIME DRAWINGS ESPECIALLY IN [ NARUTO] NEED TO FOCUS ON VISUAL COMPONENTS GOOD IN BALANCING POSITIVE REINFORCEMENT OF THE FIGURE SHOWING WILLINGNESS IN DRAWING</v>
      </c>
      <c r="BI66" s="11"/>
      <c r="BJ66" s="11"/>
      <c r="BK66" s="8"/>
      <c r="BL66" s="11"/>
      <c r="BM66" s="11"/>
      <c r="BN66" s="11"/>
    </row>
    <row r="67" spans="1:66" ht="14.35" customHeight="1" x14ac:dyDescent="0.45">
      <c r="A67" s="32"/>
      <c r="B67" s="8" t="s">
        <v>43</v>
      </c>
      <c r="C67" s="8">
        <v>50</v>
      </c>
      <c r="D67" s="11" t="s">
        <v>78</v>
      </c>
      <c r="E67" s="8">
        <v>25</v>
      </c>
      <c r="F67" s="11" t="s">
        <v>92</v>
      </c>
      <c r="G67" s="8">
        <v>25</v>
      </c>
      <c r="H67" s="11" t="s">
        <v>121</v>
      </c>
      <c r="I67" s="11"/>
      <c r="J67" s="11" t="s">
        <v>163</v>
      </c>
      <c r="K67" s="8"/>
      <c r="L67" s="11"/>
      <c r="M67" s="8">
        <v>50</v>
      </c>
      <c r="N67" s="11" t="s">
        <v>100</v>
      </c>
      <c r="O67" s="11"/>
      <c r="P67" s="11"/>
      <c r="Q67" s="11">
        <v>55</v>
      </c>
      <c r="R67" s="11" t="s">
        <v>297</v>
      </c>
      <c r="S67" s="11">
        <v>55</v>
      </c>
      <c r="T67" s="11" t="s">
        <v>317</v>
      </c>
      <c r="U67" s="29">
        <v>80</v>
      </c>
      <c r="V67" s="11" t="s">
        <v>353</v>
      </c>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8">
        <f t="shared" si="2"/>
        <v>48.571428571428569</v>
      </c>
      <c r="BH67" s="12" t="str" cm="1">
        <f t="array" ref="BH67">_xlfn.TEXTJOIN(" ", TRUE, _xlfn._xlws.FILTER(C67:BF67, MOD(COLUMN(C67:BF67)-COLUMN(BJ67),2)=0))</f>
        <v>AVEARAGE PARTICIPATION JUST PARTICIPATING NEAUTRAL PARTCIPATION CLASS CANCELED AVERAGE PARTCIPATION GOOD IN READING BUUT NEED TO FOCUS IN VOCABULARY TRYING TO FIGURE THE OUT FINE LINES,NEED TO FOCUS IN IN BUILDING STORY LINES PREFER TO READ ALL KIND OF BOOKS</v>
      </c>
      <c r="BI67" s="11"/>
      <c r="BJ67" s="11"/>
      <c r="BK67" s="8"/>
      <c r="BL67" s="11"/>
      <c r="BM67" s="11"/>
      <c r="BN67" s="11"/>
    </row>
    <row r="68" spans="1:66" ht="14.35" customHeight="1" x14ac:dyDescent="0.45">
      <c r="A68" s="33"/>
      <c r="B68" s="8" t="s">
        <v>44</v>
      </c>
      <c r="C68" s="8"/>
      <c r="D68" s="11"/>
      <c r="E68" s="8"/>
      <c r="F68" s="11"/>
      <c r="G68" s="8"/>
      <c r="H68" s="11"/>
      <c r="I68" s="11"/>
      <c r="J68" s="11"/>
      <c r="K68" s="11"/>
      <c r="L68" s="11"/>
      <c r="M68" s="8"/>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8" t="str">
        <f t="shared" ref="BG68:BG99" si="3">IFERROR(AVERAGEIF(C68:BE68,"&lt;&gt;nill"), "")</f>
        <v/>
      </c>
      <c r="BH68" s="12" t="str" cm="1">
        <f t="array" ref="BH68">_xlfn.TEXTJOIN(" ", TRUE, _xlfn._xlws.FILTER(C68:BF68, MOD(COLUMN(C68:BF68)-COLUMN(BJ68),2)=0))</f>
        <v/>
      </c>
      <c r="BI68" s="11"/>
      <c r="BJ68" s="11"/>
      <c r="BK68" s="8"/>
      <c r="BL68" s="11"/>
      <c r="BM68" s="11"/>
      <c r="BN68" s="11"/>
    </row>
    <row r="69" spans="1:66" ht="14.35" customHeight="1" x14ac:dyDescent="0.45">
      <c r="A69" s="31" t="s">
        <v>54</v>
      </c>
      <c r="B69" s="8" t="s">
        <v>39</v>
      </c>
      <c r="C69" s="8"/>
      <c r="D69" s="11"/>
      <c r="E69" s="8"/>
      <c r="F69" s="11"/>
      <c r="G69" s="8"/>
      <c r="I69" s="11"/>
      <c r="J69" s="11"/>
      <c r="K69" s="15">
        <v>65</v>
      </c>
      <c r="L69" s="11" t="s">
        <v>197</v>
      </c>
      <c r="M69" s="8"/>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8">
        <f t="shared" si="3"/>
        <v>65</v>
      </c>
      <c r="BH69" s="12" t="str" cm="1">
        <f t="array" ref="BH69">_xlfn.TEXTJOIN(" ", TRUE, _xlfn._xlws.FILTER(C69:BF69, MOD(COLUMN(C69:BF69)-COLUMN(BJ69),2)=0))</f>
        <v>INTERESTED IN MATHS</v>
      </c>
      <c r="BI69" s="11"/>
      <c r="BJ69" s="11"/>
      <c r="BK69" s="8"/>
      <c r="BL69" s="11"/>
      <c r="BM69" s="11"/>
      <c r="BN69" s="11"/>
    </row>
    <row r="70" spans="1:66" ht="14.35" customHeight="1" x14ac:dyDescent="0.45">
      <c r="A70" s="32"/>
      <c r="B70" s="8" t="s">
        <v>40</v>
      </c>
      <c r="C70" s="8">
        <v>50</v>
      </c>
      <c r="D70" s="11" t="s">
        <v>101</v>
      </c>
      <c r="E70" s="15">
        <v>65</v>
      </c>
      <c r="F70" s="11" t="s">
        <v>104</v>
      </c>
      <c r="G70" s="8">
        <v>75</v>
      </c>
      <c r="H70" s="11" t="s">
        <v>127</v>
      </c>
      <c r="I70" s="22">
        <v>85</v>
      </c>
      <c r="J70" s="11" t="s">
        <v>222</v>
      </c>
      <c r="K70" s="8">
        <v>75</v>
      </c>
      <c r="L70" s="11" t="s">
        <v>207</v>
      </c>
      <c r="M70" s="17">
        <v>85</v>
      </c>
      <c r="N70" s="11" t="s">
        <v>222</v>
      </c>
      <c r="O70" s="11"/>
      <c r="P70" s="11"/>
      <c r="Q70" s="11"/>
      <c r="R70" s="11"/>
      <c r="S70" s="11"/>
      <c r="T70" s="11"/>
      <c r="U70" s="26">
        <v>85</v>
      </c>
      <c r="V70" s="11" t="s">
        <v>364</v>
      </c>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8">
        <f t="shared" si="3"/>
        <v>74.285714285714292</v>
      </c>
      <c r="BH70" s="12" t="str" cm="1">
        <f t="array" ref="BH70">_xlfn.TEXTJOIN(" ", TRUE, _xlfn._xlws.FILTER(C70:BF70, MOD(COLUMN(C70:BF70)-COLUMN(BJ70),2)=0))</f>
        <v>GOOD IN SHETTLE GOOD IN SHUTTLE GOOD IN FOOTBALL PLAYING WELL SHUTTLE INTERESTED IN VALLEYBALL PLAYING WELL SHUTTLE INTERESTED IN VOLLEYBALL&amp;CRICKET LIKES TO PLAY BATTING</v>
      </c>
      <c r="BI70" s="11"/>
      <c r="BJ70" s="11"/>
      <c r="BK70" s="8"/>
      <c r="BL70" s="11"/>
      <c r="BM70" s="11"/>
      <c r="BN70" s="11"/>
    </row>
    <row r="71" spans="1:66" ht="14.35" customHeight="1" x14ac:dyDescent="0.45">
      <c r="A71" s="32"/>
      <c r="B71" s="8" t="s">
        <v>41</v>
      </c>
      <c r="C71" s="8">
        <v>50</v>
      </c>
      <c r="D71" s="11" t="s">
        <v>103</v>
      </c>
      <c r="E71" s="15">
        <v>65</v>
      </c>
      <c r="F71" s="11" t="s">
        <v>129</v>
      </c>
      <c r="G71" s="8">
        <v>75</v>
      </c>
      <c r="H71" s="11" t="s">
        <v>103</v>
      </c>
      <c r="I71" s="11">
        <v>75</v>
      </c>
      <c r="J71" s="11" t="s">
        <v>223</v>
      </c>
      <c r="K71" s="15">
        <v>65</v>
      </c>
      <c r="L71" s="11" t="s">
        <v>170</v>
      </c>
      <c r="M71" s="8">
        <v>75</v>
      </c>
      <c r="N71" s="11" t="s">
        <v>223</v>
      </c>
      <c r="O71" s="11"/>
      <c r="P71" s="11"/>
      <c r="Q71" s="11"/>
      <c r="R71" s="11"/>
      <c r="S71" s="11"/>
      <c r="T71" s="11"/>
      <c r="U71" s="11">
        <v>75</v>
      </c>
      <c r="V71" s="11" t="s">
        <v>343</v>
      </c>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8">
        <f t="shared" si="3"/>
        <v>68.571428571428569</v>
      </c>
      <c r="BH71" s="12" t="str" cm="1">
        <f t="array" ref="BH71">_xlfn.TEXTJOIN(" ", TRUE, _xlfn._xlws.FILTER(C71:BF71, MOD(COLUMN(C71:BF71)-COLUMN(BJ71),2)=0))</f>
        <v>SHOWING INTEREST BUT NEED PRACTICE PERFORMING WELL NEED PRACTISE SHOWING INTEREST BUT NEED PRACTICE ANSWERING WELL ACTIVE PARTICEPATION INTERESTED IN TYPING ANSWERING WELL ACTIVE PARTICEPATION JUST LEARNING BASIC SKILLS</v>
      </c>
      <c r="BI71" s="11"/>
      <c r="BJ71" s="11"/>
      <c r="BK71" s="8"/>
      <c r="BL71" s="11"/>
      <c r="BM71" s="11"/>
      <c r="BN71" s="11"/>
    </row>
    <row r="72" spans="1:66" ht="14.35" customHeight="1" x14ac:dyDescent="0.45">
      <c r="A72" s="32"/>
      <c r="B72" s="8" t="s">
        <v>42</v>
      </c>
      <c r="C72" s="8">
        <v>50</v>
      </c>
      <c r="D72" s="11" t="s">
        <v>89</v>
      </c>
      <c r="E72" s="8">
        <v>25</v>
      </c>
      <c r="F72" s="11" t="s">
        <v>150</v>
      </c>
      <c r="G72" s="8">
        <v>50</v>
      </c>
      <c r="H72" s="11" t="s">
        <v>100</v>
      </c>
      <c r="I72" s="11">
        <v>50</v>
      </c>
      <c r="J72" s="11" t="s">
        <v>239</v>
      </c>
      <c r="K72" s="8"/>
      <c r="L72" s="11"/>
      <c r="M72" s="8">
        <v>60</v>
      </c>
      <c r="N72" s="11" t="s">
        <v>259</v>
      </c>
      <c r="O72" s="11">
        <v>70</v>
      </c>
      <c r="P72" s="11" t="s">
        <v>278</v>
      </c>
      <c r="Q72" s="11"/>
      <c r="R72" s="11"/>
      <c r="S72" s="11"/>
      <c r="T72" s="11"/>
      <c r="U72" s="29">
        <v>80</v>
      </c>
      <c r="V72" s="11" t="s">
        <v>141</v>
      </c>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8">
        <f t="shared" si="3"/>
        <v>55</v>
      </c>
      <c r="BH72" s="12" t="str" cm="1">
        <f t="array" ref="BH72">_xlfn.TEXTJOIN(" ", TRUE, _xlfn._xlws.FILTER(C72:BF72, MOD(COLUMN(C72:BF72)-COLUMN(BJ72),2)=0))</f>
        <v>DOING GOOD IN DRAWING NEED TO PRACTISE MORE NEUTRAL PARTICEPATION AVERAGE PARTCIPATION AVERAGE PARTICEPATION NEED PRACTICE NEED TO REFINE THE FIGUIRE NEED PRACTICING SIGHTING CAN HELP ACHIEVE BETTER ACCURACY TRYING TO SIMPLIFY THE FIGURE</v>
      </c>
      <c r="BI72" s="11"/>
      <c r="BJ72" s="11"/>
      <c r="BK72" s="8"/>
      <c r="BL72" s="11"/>
      <c r="BM72" s="11"/>
      <c r="BN72" s="11"/>
    </row>
    <row r="73" spans="1:66" ht="14.35" customHeight="1" x14ac:dyDescent="0.45">
      <c r="A73" s="32"/>
      <c r="B73" s="8" t="s">
        <v>43</v>
      </c>
      <c r="C73" s="15">
        <v>65</v>
      </c>
      <c r="D73" s="11" t="s">
        <v>131</v>
      </c>
      <c r="E73" s="8">
        <v>50</v>
      </c>
      <c r="F73" s="11" t="s">
        <v>106</v>
      </c>
      <c r="G73" s="8">
        <v>50</v>
      </c>
      <c r="H73" s="11" t="s">
        <v>123</v>
      </c>
      <c r="I73" s="11"/>
      <c r="J73" s="11" t="s">
        <v>163</v>
      </c>
      <c r="K73" s="15">
        <v>65</v>
      </c>
      <c r="L73" s="11" t="s">
        <v>178</v>
      </c>
      <c r="M73" s="15">
        <v>65</v>
      </c>
      <c r="N73" s="11" t="s">
        <v>249</v>
      </c>
      <c r="O73" s="11"/>
      <c r="P73" s="11"/>
      <c r="Q73" s="11">
        <v>60</v>
      </c>
      <c r="R73" s="11" t="s">
        <v>300</v>
      </c>
      <c r="S73" s="11">
        <v>60</v>
      </c>
      <c r="T73" s="11" t="s">
        <v>318</v>
      </c>
      <c r="U73" s="29">
        <v>80</v>
      </c>
      <c r="V73" s="11" t="s">
        <v>365</v>
      </c>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8">
        <f t="shared" si="3"/>
        <v>61.875</v>
      </c>
      <c r="BH73" s="12" t="str" cm="1">
        <f t="array" ref="BH73">_xlfn.TEXTJOIN(" ", TRUE, _xlfn._xlws.FILTER(C73:BF73, MOD(COLUMN(C73:BF73)-COLUMN(BJ73),2)=0))</f>
        <v>GOOD IN READING AND  GOOD UNDERSTANDER IN BOOKS ,,ENJOYS WHILE READING DOING GOOD BUT NEED TO CONCENTRATE GOOD IN READING NEED TO IMPROVE VOCABULARY CLASS CANCELED INTERESTED IN STORY BOOKS GOOD IN READING, OBSERVATION DEEPLY READS INTERESTED IN READING, BIT CONFUSED IN  THE SPELL &amp;PRONOUNCATION                                                                                                                                                                INTERESTED IN READING ,NEED TO BE FOCUSED PREFER ALL KIND OF BOOKS TO READ</v>
      </c>
      <c r="BI73" s="11"/>
      <c r="BJ73" s="11"/>
      <c r="BK73" s="8"/>
      <c r="BL73" s="11"/>
      <c r="BM73" s="11"/>
      <c r="BN73" s="11"/>
    </row>
    <row r="74" spans="1:66" ht="14.35" customHeight="1" x14ac:dyDescent="0.45">
      <c r="A74" s="33"/>
      <c r="B74" s="8" t="s">
        <v>44</v>
      </c>
      <c r="C74" s="8"/>
      <c r="D74" s="11"/>
      <c r="E74" s="8"/>
      <c r="F74" s="11"/>
      <c r="G74" s="8"/>
      <c r="H74" s="11"/>
      <c r="I74" s="11"/>
      <c r="J74" s="11"/>
      <c r="K74" s="11"/>
      <c r="L74" s="11"/>
      <c r="M74" s="8"/>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8" t="str">
        <f t="shared" si="3"/>
        <v/>
      </c>
      <c r="BH74" s="12" t="str" cm="1">
        <f t="array" ref="BH74">_xlfn.TEXTJOIN(" ", TRUE, _xlfn._xlws.FILTER(C74:BF74, MOD(COLUMN(C74:BF74)-COLUMN(BJ74),2)=0))</f>
        <v/>
      </c>
      <c r="BI74" s="11"/>
      <c r="BJ74" s="11"/>
      <c r="BK74" s="8"/>
      <c r="BL74" s="11"/>
      <c r="BM74" s="11"/>
      <c r="BN74" s="11"/>
    </row>
    <row r="75" spans="1:66" ht="14.35" customHeight="1" x14ac:dyDescent="0.45">
      <c r="A75" s="31" t="s">
        <v>55</v>
      </c>
      <c r="B75" s="8" t="s">
        <v>39</v>
      </c>
      <c r="C75" s="8"/>
      <c r="D75" s="11"/>
      <c r="E75" s="8"/>
      <c r="F75" s="11"/>
      <c r="G75" s="8"/>
      <c r="H75" s="11"/>
      <c r="I75" s="11"/>
      <c r="J75" s="11"/>
      <c r="K75" s="11"/>
      <c r="L75" s="11"/>
      <c r="M75" s="8"/>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8" t="str">
        <f t="shared" si="3"/>
        <v/>
      </c>
      <c r="BH75" s="12" t="str" cm="1">
        <f t="array" ref="BH75">_xlfn.TEXTJOIN(" ", TRUE, _xlfn._xlws.FILTER(C75:BF75, MOD(COLUMN(C75:BF75)-COLUMN(BJ75),2)=0))</f>
        <v/>
      </c>
      <c r="BI75" s="11"/>
      <c r="BJ75" s="11"/>
      <c r="BK75" s="8"/>
      <c r="BL75" s="11"/>
      <c r="BM75" s="11"/>
      <c r="BN75" s="11"/>
    </row>
    <row r="76" spans="1:66" ht="14.35" customHeight="1" x14ac:dyDescent="0.45">
      <c r="A76" s="32"/>
      <c r="B76" s="8" t="s">
        <v>40</v>
      </c>
      <c r="C76" s="8">
        <v>50</v>
      </c>
      <c r="D76" s="11" t="s">
        <v>104</v>
      </c>
      <c r="E76" s="15">
        <v>65</v>
      </c>
      <c r="F76" s="11" t="s">
        <v>104</v>
      </c>
      <c r="G76" s="8">
        <v>75</v>
      </c>
      <c r="H76" s="11" t="s">
        <v>128</v>
      </c>
      <c r="I76" s="22">
        <v>85</v>
      </c>
      <c r="J76" s="11" t="s">
        <v>222</v>
      </c>
      <c r="K76" s="11"/>
      <c r="L76" s="11"/>
      <c r="M76" s="17">
        <v>85</v>
      </c>
      <c r="N76" s="11" t="s">
        <v>222</v>
      </c>
      <c r="O76" s="11"/>
      <c r="P76" s="11"/>
      <c r="Q76" s="11"/>
      <c r="R76" s="11"/>
      <c r="S76" s="11"/>
      <c r="T76" s="11"/>
      <c r="U76" s="26">
        <v>85</v>
      </c>
      <c r="V76" s="11" t="s">
        <v>342</v>
      </c>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8">
        <f t="shared" si="3"/>
        <v>74.166666666666671</v>
      </c>
      <c r="BH76" s="12" t="str" cm="1">
        <f t="array" ref="BH76">_xlfn.TEXTJOIN(" ", TRUE, _xlfn._xlws.FILTER(C76:BF76, MOD(COLUMN(C76:BF76)-COLUMN(BJ76),2)=0))</f>
        <v>GOOD IN SHUTTLE GOOD IN SHUTTLE GOOD IN KHO KHO PLAYING WELL SHUTTLE PLAYING WELL SHUTTLE INTERESTED IN VOLLEYBALL,FOOTBALL&amp;CRICKET</v>
      </c>
      <c r="BI76" s="11"/>
      <c r="BJ76" s="11"/>
      <c r="BK76" s="8"/>
      <c r="BL76" s="11"/>
      <c r="BM76" s="11"/>
      <c r="BN76" s="11"/>
    </row>
    <row r="77" spans="1:66" ht="14.35" customHeight="1" x14ac:dyDescent="0.45">
      <c r="A77" s="32"/>
      <c r="B77" s="8" t="s">
        <v>41</v>
      </c>
      <c r="C77" s="8">
        <v>75</v>
      </c>
      <c r="D77" s="11" t="s">
        <v>103</v>
      </c>
      <c r="E77" s="15">
        <v>65</v>
      </c>
      <c r="F77" s="11" t="s">
        <v>129</v>
      </c>
      <c r="G77" s="8">
        <v>75</v>
      </c>
      <c r="H77" s="11" t="s">
        <v>103</v>
      </c>
      <c r="I77" s="11">
        <v>75</v>
      </c>
      <c r="J77" s="11" t="s">
        <v>223</v>
      </c>
      <c r="K77" s="11" t="s">
        <v>82</v>
      </c>
      <c r="L77" s="11" t="s">
        <v>82</v>
      </c>
      <c r="M77" s="8">
        <v>75</v>
      </c>
      <c r="N77" s="11" t="s">
        <v>223</v>
      </c>
      <c r="P77" s="11"/>
      <c r="Q77" s="11"/>
      <c r="R77" s="11"/>
      <c r="S77" s="11"/>
      <c r="T77" s="11"/>
      <c r="U77" s="11">
        <v>75</v>
      </c>
      <c r="V77" s="11" t="s">
        <v>343</v>
      </c>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8">
        <f t="shared" si="3"/>
        <v>73.333333333333329</v>
      </c>
      <c r="BH77" s="12" t="str" cm="1">
        <f t="array" ref="BH77">_xlfn.TEXTJOIN(" ", TRUE, _xlfn._xlws.FILTER(C77:BF77, MOD(COLUMN(C77:BF77)-COLUMN(BJ77),2)=0))</f>
        <v>SHOWING INTEREST BUT NEED PRACTICE PERFORMING WELL NEED PRACTISE SHOWING INTEREST BUT NEED PRACTICE ANSWERING WELL ACTIVE PARTICEPATION AB ANSWERING WELL ACTIVE PARTICEPATION JUST LEARNING BASIC SKILLS</v>
      </c>
      <c r="BI77" s="11"/>
      <c r="BJ77" s="11"/>
      <c r="BK77" s="8"/>
      <c r="BL77" s="11"/>
      <c r="BM77" s="11"/>
      <c r="BN77" s="11"/>
    </row>
    <row r="78" spans="1:66" ht="14.35" customHeight="1" x14ac:dyDescent="0.45">
      <c r="A78" s="32"/>
      <c r="B78" s="8" t="s">
        <v>42</v>
      </c>
      <c r="C78" s="8">
        <v>50</v>
      </c>
      <c r="D78" s="11" t="s">
        <v>76</v>
      </c>
      <c r="E78" s="8">
        <v>50</v>
      </c>
      <c r="F78" s="11" t="s">
        <v>147</v>
      </c>
      <c r="G78" s="8">
        <v>50</v>
      </c>
      <c r="H78" s="11" t="s">
        <v>149</v>
      </c>
      <c r="I78" s="23">
        <v>65</v>
      </c>
      <c r="J78" s="11" t="s">
        <v>228</v>
      </c>
      <c r="K78" s="11"/>
      <c r="L78" s="11"/>
      <c r="M78" s="8">
        <v>70</v>
      </c>
      <c r="N78" s="11" t="s">
        <v>137</v>
      </c>
      <c r="O78" s="11">
        <v>80</v>
      </c>
      <c r="P78" s="11" t="s">
        <v>279</v>
      </c>
      <c r="Q78" s="11"/>
      <c r="R78" s="11"/>
      <c r="S78" s="11"/>
      <c r="T78" s="11"/>
      <c r="U78" s="29">
        <v>80</v>
      </c>
      <c r="V78" s="11" t="s">
        <v>350</v>
      </c>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8">
        <f t="shared" si="3"/>
        <v>63.571428571428569</v>
      </c>
      <c r="BH78" s="12" t="str" cm="1">
        <f t="array" ref="BH78">_xlfn.TEXTJOIN(" ", TRUE, _xlfn._xlws.FILTER(C78:BF78, MOD(COLUMN(C78:BF78)-COLUMN(BJ78),2)=0))</f>
        <v>AVERAGE PARTICIPATION NEED TO FOCUS ON VISUAL NEED TO REFINE THE FIGURE ACTIVE PARTICEPATION NEED PRACTICE SIMPLIFYING THE CONTOUR WELL EXPERIMENTING WITH VARYING LINE WEIGHTS TO GIVE DRAWING MORE DEPTH SHOWING WILLINGNESS IN DRAWING</v>
      </c>
      <c r="BI78" s="11"/>
      <c r="BJ78" s="11"/>
      <c r="BK78" s="8"/>
      <c r="BL78" s="11"/>
      <c r="BM78" s="11"/>
      <c r="BN78" s="11"/>
    </row>
    <row r="79" spans="1:66" ht="14.35" customHeight="1" x14ac:dyDescent="0.45">
      <c r="A79" s="32"/>
      <c r="B79" s="8" t="s">
        <v>43</v>
      </c>
      <c r="C79" s="8">
        <v>50</v>
      </c>
      <c r="D79" s="11" t="s">
        <v>73</v>
      </c>
      <c r="E79" s="8">
        <v>50</v>
      </c>
      <c r="F79" s="11" t="s">
        <v>106</v>
      </c>
      <c r="G79" s="8">
        <v>25</v>
      </c>
      <c r="H79" s="11" t="s">
        <v>121</v>
      </c>
      <c r="I79" s="11"/>
      <c r="J79" s="11" t="s">
        <v>163</v>
      </c>
      <c r="K79" s="11"/>
      <c r="L79" s="11"/>
      <c r="M79" s="8">
        <v>50</v>
      </c>
      <c r="N79" s="11" t="s">
        <v>100</v>
      </c>
      <c r="O79" s="11"/>
      <c r="P79" s="11"/>
      <c r="Q79" s="11" t="s">
        <v>82</v>
      </c>
      <c r="R79" s="11"/>
      <c r="S79" s="11">
        <v>55</v>
      </c>
      <c r="T79" s="11" t="s">
        <v>319</v>
      </c>
      <c r="U79" s="29">
        <v>80</v>
      </c>
      <c r="V79" s="11" t="s">
        <v>386</v>
      </c>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8">
        <f t="shared" si="3"/>
        <v>51.666666666666664</v>
      </c>
      <c r="BH79" s="12" t="str" cm="1">
        <f t="array" ref="BH79">_xlfn.TEXTJOIN(" ", TRUE, _xlfn._xlws.FILTER(C79:BF79, MOD(COLUMN(C79:BF79)-COLUMN(BJ79),2)=0))</f>
        <v>GOOD AND LEARNING VOCABUALRY DOING GOOD BUT NEED TO CONCENTRATE NEAUTRAL PARTCIPATION CLASS CANCELED AVERAGE PARTCIPATION WELL NEED TO PERFORM,BUT NEED TO IMPROVE IN STORY LINE// PREFER ANIMATION BOOKS TO READ</v>
      </c>
      <c r="BI79" s="11"/>
      <c r="BJ79" s="11"/>
      <c r="BK79" s="8"/>
      <c r="BL79" s="11"/>
      <c r="BM79" s="11"/>
      <c r="BN79" s="11"/>
    </row>
    <row r="80" spans="1:66" ht="14.35" customHeight="1" x14ac:dyDescent="0.45">
      <c r="A80" s="33"/>
      <c r="B80" s="8" t="s">
        <v>44</v>
      </c>
      <c r="C80" s="8"/>
      <c r="D80" s="11"/>
      <c r="E80" s="8"/>
      <c r="F80" s="11"/>
      <c r="G80" s="8"/>
      <c r="H80" s="11"/>
      <c r="I80" s="11"/>
      <c r="J80" s="11"/>
      <c r="K80" s="11"/>
      <c r="L80" s="11"/>
      <c r="M80" s="8"/>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8" t="str">
        <f t="shared" si="3"/>
        <v/>
      </c>
      <c r="BH80" s="12" t="str" cm="1">
        <f t="array" ref="BH80">_xlfn.TEXTJOIN(" ", TRUE, _xlfn._xlws.FILTER(C80:BF80, MOD(COLUMN(C80:BF80)-COLUMN(BJ80),2)=0))</f>
        <v/>
      </c>
      <c r="BI80" s="11"/>
      <c r="BJ80" s="11"/>
      <c r="BK80" s="8"/>
      <c r="BL80" s="11"/>
      <c r="BM80" s="11"/>
      <c r="BN80" s="11"/>
    </row>
    <row r="81" spans="1:66" ht="14.35" customHeight="1" x14ac:dyDescent="0.45">
      <c r="A81" s="31" t="s">
        <v>164</v>
      </c>
      <c r="B81" s="8" t="s">
        <v>39</v>
      </c>
      <c r="C81" s="8"/>
      <c r="D81" s="11"/>
      <c r="E81" s="8"/>
      <c r="F81" s="11"/>
      <c r="G81" s="8"/>
      <c r="H81" s="11"/>
      <c r="I81" s="11"/>
      <c r="J81" s="11"/>
      <c r="K81" s="15">
        <v>65</v>
      </c>
      <c r="L81" s="11" t="s">
        <v>173</v>
      </c>
      <c r="M81" s="8"/>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8">
        <f t="shared" si="3"/>
        <v>65</v>
      </c>
      <c r="BH81" s="12" t="str" cm="1">
        <f t="array" ref="BH81">_xlfn.TEXTJOIN(" ", TRUE, _xlfn._xlws.FILTER(C81:BF81, MOD(COLUMN(C81:BF81)-COLUMN(BJ81),2)=0))</f>
        <v>INTERESTED IN HINDI</v>
      </c>
      <c r="BI81" s="11"/>
      <c r="BJ81" s="11"/>
      <c r="BK81" s="8"/>
      <c r="BL81" s="11"/>
      <c r="BM81" s="11"/>
      <c r="BN81" s="11"/>
    </row>
    <row r="82" spans="1:66" ht="14.35" customHeight="1" x14ac:dyDescent="0.45">
      <c r="A82" s="32"/>
      <c r="B82" s="8" t="s">
        <v>40</v>
      </c>
      <c r="C82" s="8">
        <v>50</v>
      </c>
      <c r="D82" s="11" t="s">
        <v>104</v>
      </c>
      <c r="E82" s="15">
        <v>65</v>
      </c>
      <c r="F82" s="11" t="s">
        <v>104</v>
      </c>
      <c r="G82" s="8">
        <v>75</v>
      </c>
      <c r="H82" s="11" t="s">
        <v>127</v>
      </c>
      <c r="I82" s="22">
        <v>85</v>
      </c>
      <c r="J82" s="11" t="s">
        <v>222</v>
      </c>
      <c r="K82" s="8">
        <v>75</v>
      </c>
      <c r="L82" s="11" t="s">
        <v>207</v>
      </c>
      <c r="M82" s="17">
        <v>85</v>
      </c>
      <c r="N82" s="11" t="s">
        <v>222</v>
      </c>
      <c r="O82" s="11"/>
      <c r="P82" s="11"/>
      <c r="Q82" s="11"/>
      <c r="R82" s="11"/>
      <c r="S82" s="11"/>
      <c r="T82" s="11"/>
      <c r="U82" s="26">
        <v>85</v>
      </c>
      <c r="V82" s="11" t="s">
        <v>352</v>
      </c>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8">
        <f t="shared" si="3"/>
        <v>74.285714285714292</v>
      </c>
      <c r="BH82" s="12" t="str" cm="1">
        <f t="array" ref="BH82">_xlfn.TEXTJOIN(" ", TRUE, _xlfn._xlws.FILTER(C82:BF82, MOD(COLUMN(C82:BF82)-COLUMN(BJ82),2)=0))</f>
        <v>GOOD IN SHUTTLE GOOD IN SHUTTLE GOOD IN FOOTBALL PLAYING WELL SHUTTLE INTERESTED IN VALLEYBALL PLAYING WELL SHUTTLE INTERESTED IN FOOTBALL&amp;PARTICIPATED IN RUNNING ALSO</v>
      </c>
      <c r="BI82" s="11"/>
      <c r="BJ82" s="11"/>
      <c r="BK82" s="8"/>
      <c r="BL82" s="11"/>
      <c r="BM82" s="11"/>
      <c r="BN82" s="11"/>
    </row>
    <row r="83" spans="1:66" ht="14.35" customHeight="1" x14ac:dyDescent="0.45">
      <c r="A83" s="32"/>
      <c r="B83" s="8" t="s">
        <v>41</v>
      </c>
      <c r="C83" s="8">
        <v>75</v>
      </c>
      <c r="D83" s="11" t="s">
        <v>103</v>
      </c>
      <c r="E83" s="15">
        <v>65</v>
      </c>
      <c r="F83" s="11" t="s">
        <v>129</v>
      </c>
      <c r="G83" s="8">
        <v>75</v>
      </c>
      <c r="H83" s="11" t="s">
        <v>103</v>
      </c>
      <c r="I83" s="11">
        <v>75</v>
      </c>
      <c r="J83" s="11" t="s">
        <v>223</v>
      </c>
      <c r="K83" s="15">
        <v>65</v>
      </c>
      <c r="L83" s="11" t="s">
        <v>170</v>
      </c>
      <c r="M83" s="8">
        <v>75</v>
      </c>
      <c r="N83" s="11" t="s">
        <v>223</v>
      </c>
      <c r="O83" s="11"/>
      <c r="P83" s="11"/>
      <c r="Q83" s="11"/>
      <c r="R83" s="11"/>
      <c r="S83" s="11"/>
      <c r="T83" s="11"/>
      <c r="U83" s="11">
        <v>75</v>
      </c>
      <c r="V83" s="11" t="s">
        <v>343</v>
      </c>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8">
        <f t="shared" si="3"/>
        <v>72.142857142857139</v>
      </c>
      <c r="BH83" s="12" t="str" cm="1">
        <f t="array" ref="BH83">_xlfn.TEXTJOIN(" ", TRUE, _xlfn._xlws.FILTER(C83:BF83, MOD(COLUMN(C83:BF83)-COLUMN(BJ83),2)=0))</f>
        <v>SHOWING INTEREST BUT NEED PRACTICE PERFORMING WELL NEED PRACTISE SHOWING INTEREST BUT NEED PRACTICE ANSWERING WELL ACTIVE PARTICEPATION INTERESTED IN TYPING ANSWERING WELL ACTIVE PARTICEPATION JUST LEARNING BASIC SKILLS</v>
      </c>
      <c r="BI83" s="11"/>
      <c r="BJ83" s="11"/>
      <c r="BK83" s="8"/>
      <c r="BL83" s="11"/>
      <c r="BM83" s="11"/>
      <c r="BN83" s="11"/>
    </row>
    <row r="84" spans="1:66" ht="14.35" customHeight="1" x14ac:dyDescent="0.45">
      <c r="A84" s="32"/>
      <c r="B84" s="8" t="s">
        <v>42</v>
      </c>
      <c r="C84" s="8">
        <v>75</v>
      </c>
      <c r="D84" s="11" t="s">
        <v>97</v>
      </c>
      <c r="E84" s="8">
        <v>50</v>
      </c>
      <c r="F84" s="11" t="s">
        <v>140</v>
      </c>
      <c r="G84" s="15">
        <v>65</v>
      </c>
      <c r="H84" s="11" t="s">
        <v>151</v>
      </c>
      <c r="I84" s="22">
        <v>85</v>
      </c>
      <c r="J84" s="11" t="s">
        <v>143</v>
      </c>
      <c r="K84" s="8">
        <v>75</v>
      </c>
      <c r="L84" s="11" t="s">
        <v>201</v>
      </c>
      <c r="M84" s="8">
        <v>70</v>
      </c>
      <c r="N84" s="11" t="s">
        <v>141</v>
      </c>
      <c r="O84" s="11">
        <v>65</v>
      </c>
      <c r="P84" s="11" t="s">
        <v>280</v>
      </c>
      <c r="Q84" s="11"/>
      <c r="R84" s="11"/>
      <c r="S84" s="11"/>
      <c r="T84" s="11"/>
      <c r="U84" s="29">
        <v>80</v>
      </c>
      <c r="V84" s="11" t="s">
        <v>350</v>
      </c>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8">
        <f t="shared" si="3"/>
        <v>70.625</v>
      </c>
      <c r="BH84" s="12" t="str" cm="1">
        <f t="array" ref="BH84">_xlfn.TEXTJOIN(" ", TRUE, _xlfn._xlws.FILTER(C84:BF84, MOD(COLUMN(C84:BF84)-COLUMN(BJ84),2)=0))</f>
        <v>GOOD IN SCETCHIN,PAINTING,INANNIME,GREAT INTREST WITH DOING GOOD IN SHADING CAN IMPROVE DEPICTING THE RANGE OF VALUES FROM LIGHT TO SHADOW INVOLVES ESTABLISHING A LIGHT SOURCE INTERESTED IN ANIME DRAWINGS TRYING TO SIMPLIFY THE FIGURE NEED TO FOCUS ON USING LONGER SMOOTHER MOTION  SHOWING WILLINGNESS IN DRAWING</v>
      </c>
      <c r="BI84" s="11"/>
      <c r="BJ84" s="11"/>
      <c r="BK84" s="8"/>
      <c r="BL84" s="11"/>
      <c r="BM84" s="11"/>
      <c r="BN84" s="11"/>
    </row>
    <row r="85" spans="1:66" ht="14.35" customHeight="1" x14ac:dyDescent="0.45">
      <c r="A85" s="32"/>
      <c r="B85" s="8" t="s">
        <v>43</v>
      </c>
      <c r="C85" s="8">
        <v>50</v>
      </c>
      <c r="D85" s="11" t="s">
        <v>79</v>
      </c>
      <c r="E85" s="8">
        <v>50</v>
      </c>
      <c r="F85" s="11" t="s">
        <v>116</v>
      </c>
      <c r="G85" s="8">
        <v>25</v>
      </c>
      <c r="H85" s="11" t="s">
        <v>121</v>
      </c>
      <c r="I85" s="11"/>
      <c r="J85" s="11" t="s">
        <v>163</v>
      </c>
      <c r="K85" s="8"/>
      <c r="L85" s="11"/>
      <c r="M85" s="8">
        <v>50</v>
      </c>
      <c r="N85" s="11" t="s">
        <v>250</v>
      </c>
      <c r="O85" s="11"/>
      <c r="P85" s="11"/>
      <c r="Q85" s="11">
        <v>55</v>
      </c>
      <c r="R85" s="11" t="s">
        <v>294</v>
      </c>
      <c r="S85" s="11">
        <v>60</v>
      </c>
      <c r="T85" s="11" t="s">
        <v>320</v>
      </c>
      <c r="U85" s="29">
        <v>80</v>
      </c>
      <c r="V85" s="11" t="s">
        <v>381</v>
      </c>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8">
        <f t="shared" si="3"/>
        <v>52.857142857142854</v>
      </c>
      <c r="BH85" s="12" t="str" cm="1">
        <f t="array" ref="BH85">_xlfn.TEXTJOIN(" ", TRUE, _xlfn._xlws.FILTER(C85:BF85, MOD(COLUMN(C85:BF85)-COLUMN(BJ85),2)=0))</f>
        <v xml:space="preserve"> AVERARAGE PARTICIPATION DOING GOOD NEED TO IMPROVE NEAUTRAL PARTCIPATION CLASS CANCELED GOOD IN READING BUT NEED TO FOCUS NEED TO  IMPROVE CONCENTRACTION PERFORM AND READ PROPERLY,BUT NEED TO BUILD IN BUILDING IN STORY LINE PREFER MORAL STORIES TO READ</v>
      </c>
      <c r="BI85" s="11"/>
      <c r="BJ85" s="11"/>
      <c r="BK85" s="8"/>
      <c r="BL85" s="11"/>
      <c r="BM85" s="11"/>
      <c r="BN85" s="11"/>
    </row>
    <row r="86" spans="1:66" ht="14.35" customHeight="1" x14ac:dyDescent="0.45">
      <c r="A86" s="33"/>
      <c r="B86" s="8" t="s">
        <v>44</v>
      </c>
      <c r="C86" s="8"/>
      <c r="D86" s="11"/>
      <c r="E86" s="8"/>
      <c r="F86" s="11"/>
      <c r="G86" s="8"/>
      <c r="H86" s="11"/>
      <c r="I86" s="11"/>
      <c r="J86" s="11"/>
      <c r="K86" s="11"/>
      <c r="L86" s="11"/>
      <c r="M86" s="8"/>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8" t="str">
        <f t="shared" si="3"/>
        <v/>
      </c>
      <c r="BH86" s="12" t="str" cm="1">
        <f t="array" ref="BH86">_xlfn.TEXTJOIN(" ", TRUE, _xlfn._xlws.FILTER(C86:BF86, MOD(COLUMN(C86:BF86)-COLUMN(BJ86),2)=0))</f>
        <v/>
      </c>
      <c r="BI86" s="11"/>
      <c r="BJ86" s="11"/>
      <c r="BK86" s="8"/>
      <c r="BL86" s="11"/>
      <c r="BM86" s="11"/>
      <c r="BN86" s="11"/>
    </row>
    <row r="87" spans="1:66" ht="14.35" customHeight="1" x14ac:dyDescent="0.45">
      <c r="A87" s="31" t="s">
        <v>56</v>
      </c>
      <c r="B87" s="8" t="s">
        <v>39</v>
      </c>
      <c r="C87" s="8"/>
      <c r="D87" s="11"/>
      <c r="E87" s="8"/>
      <c r="F87" s="11"/>
      <c r="G87" s="8"/>
      <c r="H87" s="11"/>
      <c r="I87" s="11"/>
      <c r="J87" s="11"/>
      <c r="K87" s="8">
        <v>75</v>
      </c>
      <c r="L87" s="11" t="s">
        <v>202</v>
      </c>
      <c r="M87" s="8"/>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8">
        <f t="shared" si="3"/>
        <v>75</v>
      </c>
      <c r="BH87" s="12" t="str" cm="1">
        <f t="array" ref="BH87">_xlfn.TEXTJOIN(" ", TRUE, _xlfn._xlws.FILTER(C87:BF87, MOD(COLUMN(C87:BF87)-COLUMN(BJ87),2)=0))</f>
        <v>INTERESTED IN BIOLOGY ESPECIALLY IN , REPRODUCTION IN ANIMALS</v>
      </c>
      <c r="BI87" s="11"/>
      <c r="BJ87" s="11"/>
      <c r="BK87" s="8"/>
      <c r="BL87" s="11"/>
      <c r="BM87" s="11"/>
      <c r="BN87" s="11"/>
    </row>
    <row r="88" spans="1:66" ht="14.35" customHeight="1" x14ac:dyDescent="0.45">
      <c r="A88" s="32"/>
      <c r="B88" s="8" t="s">
        <v>40</v>
      </c>
      <c r="C88" s="8">
        <v>50</v>
      </c>
      <c r="D88" s="11" t="s">
        <v>104</v>
      </c>
      <c r="E88" s="15">
        <v>65</v>
      </c>
      <c r="F88" s="11" t="s">
        <v>104</v>
      </c>
      <c r="G88" s="8">
        <v>75</v>
      </c>
      <c r="H88" s="11" t="s">
        <v>127</v>
      </c>
      <c r="I88" s="22">
        <v>85</v>
      </c>
      <c r="J88" s="11" t="s">
        <v>222</v>
      </c>
      <c r="K88" s="15">
        <v>65</v>
      </c>
      <c r="L88" s="11" t="s">
        <v>183</v>
      </c>
      <c r="M88" s="17">
        <v>85</v>
      </c>
      <c r="N88" s="11" t="s">
        <v>222</v>
      </c>
      <c r="O88" s="11"/>
      <c r="P88" s="11"/>
      <c r="Q88" s="11"/>
      <c r="R88" s="11"/>
      <c r="S88" s="11"/>
      <c r="T88" s="11"/>
      <c r="U88" s="26">
        <v>85</v>
      </c>
      <c r="V88" s="11" t="s">
        <v>342</v>
      </c>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8">
        <f t="shared" si="3"/>
        <v>72.857142857142861</v>
      </c>
      <c r="BH88" s="12" t="str" cm="1">
        <f t="array" ref="BH88">_xlfn.TEXTJOIN(" ", TRUE, _xlfn._xlws.FILTER(C88:BF88, MOD(COLUMN(C88:BF88)-COLUMN(BJ88),2)=0))</f>
        <v>GOOD IN SHUTTLE GOOD IN SHUTTLE GOOD IN FOOTBALL PLAYING WELL SHUTTLE INTERESTED IN CRICKET PLAYING WELL SHUTTLE INTERESTED IN VOLLEYBALL,FOOTBALL&amp;CRICKET</v>
      </c>
      <c r="BI88" s="11"/>
      <c r="BJ88" s="11"/>
      <c r="BK88" s="8"/>
      <c r="BL88" s="11"/>
      <c r="BM88" s="11"/>
      <c r="BN88" s="11"/>
    </row>
    <row r="89" spans="1:66" ht="14.35" customHeight="1" x14ac:dyDescent="0.45">
      <c r="A89" s="32"/>
      <c r="B89" s="8" t="s">
        <v>41</v>
      </c>
      <c r="C89" s="8">
        <v>75</v>
      </c>
      <c r="D89" s="11" t="s">
        <v>103</v>
      </c>
      <c r="E89" s="15">
        <v>65</v>
      </c>
      <c r="F89" s="11" t="s">
        <v>129</v>
      </c>
      <c r="G89" s="8">
        <v>75</v>
      </c>
      <c r="H89" s="11" t="s">
        <v>103</v>
      </c>
      <c r="I89" s="11">
        <v>75</v>
      </c>
      <c r="J89" s="11" t="s">
        <v>223</v>
      </c>
      <c r="K89" s="8"/>
      <c r="L89" s="11"/>
      <c r="M89" s="8">
        <v>75</v>
      </c>
      <c r="N89" s="11" t="s">
        <v>223</v>
      </c>
      <c r="O89" s="11"/>
      <c r="P89" s="11"/>
      <c r="Q89" s="11"/>
      <c r="R89" s="11"/>
      <c r="S89" s="11"/>
      <c r="T89" s="11"/>
      <c r="U89" s="11">
        <v>75</v>
      </c>
      <c r="V89" s="11" t="s">
        <v>343</v>
      </c>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8">
        <f t="shared" si="3"/>
        <v>73.333333333333329</v>
      </c>
      <c r="BH89" s="12" t="str" cm="1">
        <f t="array" ref="BH89">_xlfn.TEXTJOIN(" ", TRUE, _xlfn._xlws.FILTER(C89:BF89, MOD(COLUMN(C89:BF89)-COLUMN(BJ89),2)=0))</f>
        <v>SHOWING INTEREST BUT NEED PRACTICE PERFORMING WELL NEED PRACTISE SHOWING INTEREST BUT NEED PRACTICE ANSWERING WELL ACTIVE PARTICEPATION ANSWERING WELL ACTIVE PARTICEPATION JUST LEARNING BASIC SKILLS</v>
      </c>
      <c r="BI89" s="11"/>
      <c r="BJ89" s="11"/>
      <c r="BK89" s="8"/>
      <c r="BL89" s="11"/>
      <c r="BM89" s="11"/>
      <c r="BN89" s="11"/>
    </row>
    <row r="90" spans="1:66" ht="14.35" customHeight="1" x14ac:dyDescent="0.45">
      <c r="A90" s="32"/>
      <c r="B90" s="8" t="s">
        <v>42</v>
      </c>
      <c r="C90" s="8">
        <v>75</v>
      </c>
      <c r="D90" s="11" t="s">
        <v>85</v>
      </c>
      <c r="E90" s="8">
        <v>25</v>
      </c>
      <c r="F90" s="11" t="s">
        <v>150</v>
      </c>
      <c r="G90" s="8">
        <v>50</v>
      </c>
      <c r="H90" s="11" t="s">
        <v>100</v>
      </c>
      <c r="I90" s="23">
        <v>65</v>
      </c>
      <c r="J90" s="11" t="s">
        <v>228</v>
      </c>
      <c r="K90" s="8">
        <v>75</v>
      </c>
      <c r="L90" s="11" t="s">
        <v>203</v>
      </c>
      <c r="M90" s="8">
        <v>60</v>
      </c>
      <c r="N90" s="11" t="s">
        <v>258</v>
      </c>
      <c r="O90" s="11">
        <v>70</v>
      </c>
      <c r="P90" s="11" t="s">
        <v>281</v>
      </c>
      <c r="Q90" s="11"/>
      <c r="R90" s="11"/>
      <c r="S90" s="11"/>
      <c r="T90" s="11"/>
      <c r="U90" s="29">
        <v>80</v>
      </c>
      <c r="V90" s="11" t="s">
        <v>141</v>
      </c>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8">
        <f t="shared" si="3"/>
        <v>62.5</v>
      </c>
      <c r="BH90" s="12" t="str" cm="1">
        <f t="array" ref="BH90">_xlfn.TEXTJOIN(" ", TRUE, _xlfn._xlws.FILTER(C90:BF90, MOD(COLUMN(C90:BF90)-COLUMN(BJ90),2)=0))</f>
        <v>GOOD IN PENSILING ,GOOD OBSERVATION IN PENSILING WITH INTREST PAARTICIPATING NEUTRAL PARTICEPATION AVERAGE PARTCIPATION ACTIVE PARTICEPATION NEED PRACTICE INTERESTED IN NALL TYPES OF DRAWINGS NEED TO FOCUS ON VISUAL COMPONENTS CREATING REALISTIC DEPTH IN THE FIGURE TRYING TO SIMPLIFY THE FIGURE</v>
      </c>
      <c r="BI90" s="11"/>
      <c r="BJ90" s="11"/>
      <c r="BK90" s="8"/>
      <c r="BL90" s="11"/>
      <c r="BM90" s="11"/>
      <c r="BN90" s="11"/>
    </row>
    <row r="91" spans="1:66" ht="14.35" customHeight="1" x14ac:dyDescent="0.45">
      <c r="A91" s="32"/>
      <c r="B91" s="8" t="s">
        <v>43</v>
      </c>
      <c r="C91" s="15">
        <v>65</v>
      </c>
      <c r="D91" s="11" t="s">
        <v>132</v>
      </c>
      <c r="E91" s="15">
        <v>65</v>
      </c>
      <c r="F91" s="11" t="s">
        <v>117</v>
      </c>
      <c r="G91" s="8">
        <v>50</v>
      </c>
      <c r="H91" s="11" t="s">
        <v>100</v>
      </c>
      <c r="I91" s="11"/>
      <c r="J91" s="11" t="s">
        <v>163</v>
      </c>
      <c r="K91" s="15">
        <v>65</v>
      </c>
      <c r="L91" s="11" t="s">
        <v>195</v>
      </c>
      <c r="M91" s="8">
        <v>25</v>
      </c>
      <c r="N91" s="11" t="s">
        <v>252</v>
      </c>
      <c r="O91" s="11"/>
      <c r="P91" s="11"/>
      <c r="Q91" s="11">
        <v>45</v>
      </c>
      <c r="R91" s="11" t="s">
        <v>301</v>
      </c>
      <c r="S91" s="11">
        <v>50</v>
      </c>
      <c r="T91" s="11" t="s">
        <v>321</v>
      </c>
      <c r="U91" s="26">
        <v>85</v>
      </c>
      <c r="V91" s="11" t="s">
        <v>344</v>
      </c>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8">
        <f t="shared" si="3"/>
        <v>56.25</v>
      </c>
      <c r="BH91" s="12" t="str" cm="1">
        <f t="array" ref="BH91">_xlfn.TEXTJOIN(" ", TRUE, _xlfn._xlws.FILTER(C91:BF91, MOD(COLUMN(C91:BF91)-COLUMN(BJ91),2)=0))</f>
        <v>GOOD INTREST IN READING ALSO GOOD IMAGINATION OF STORIES,ENJOYS READING  DOING GOOD NEED TO PRACTISE VOCABULARY AVERAGE PARTCIPATION CLASS CANCELED INTERESTED IN MORAL STORY BOOKS NEUTRAL PARTCIPAATION  NEED TO FOCUS IN READING INTERESTED IN NEWS PAPER READING,NEED TO BE FOCUSED PREFER TO READ PANCHATRANTRA STORIES</v>
      </c>
      <c r="BI91" s="11"/>
      <c r="BJ91" s="11"/>
      <c r="BK91" s="8"/>
      <c r="BL91" s="11"/>
      <c r="BM91" s="11"/>
      <c r="BN91" s="11"/>
    </row>
    <row r="92" spans="1:66" ht="14.35" customHeight="1" x14ac:dyDescent="0.45">
      <c r="A92" s="33"/>
      <c r="B92" s="8" t="s">
        <v>44</v>
      </c>
      <c r="C92" s="8"/>
      <c r="D92" s="11"/>
      <c r="E92" s="8"/>
      <c r="F92" s="11"/>
      <c r="G92" s="8"/>
      <c r="H92" s="11"/>
      <c r="I92" s="11"/>
      <c r="J92" s="11"/>
      <c r="K92" s="11"/>
      <c r="L92" s="11"/>
      <c r="M92" s="8"/>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8" t="str">
        <f t="shared" si="3"/>
        <v/>
      </c>
      <c r="BH92" s="12" t="str" cm="1">
        <f t="array" ref="BH92">_xlfn.TEXTJOIN(" ", TRUE, _xlfn._xlws.FILTER(C92:BF92, MOD(COLUMN(C92:BF92)-COLUMN(BJ92),2)=0))</f>
        <v/>
      </c>
      <c r="BI92" s="11"/>
      <c r="BJ92" s="11"/>
      <c r="BK92" s="8"/>
      <c r="BL92" s="11"/>
      <c r="BM92" s="11"/>
      <c r="BN92" s="11"/>
    </row>
    <row r="93" spans="1:66" ht="14.35" customHeight="1" x14ac:dyDescent="0.45">
      <c r="A93" s="31" t="s">
        <v>204</v>
      </c>
      <c r="B93" s="8" t="s">
        <v>39</v>
      </c>
      <c r="C93" s="8"/>
      <c r="D93" s="11"/>
      <c r="E93" s="8"/>
      <c r="F93" s="11"/>
      <c r="G93" s="8"/>
      <c r="H93" s="11"/>
      <c r="I93" s="11"/>
      <c r="J93" s="11"/>
      <c r="K93" s="15">
        <v>65</v>
      </c>
      <c r="L93" s="11" t="s">
        <v>197</v>
      </c>
      <c r="M93" s="8"/>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8">
        <f t="shared" si="3"/>
        <v>65</v>
      </c>
      <c r="BH93" s="12" t="str" cm="1">
        <f t="array" ref="BH93">_xlfn.TEXTJOIN(" ", TRUE, _xlfn._xlws.FILTER(C93:BF93, MOD(COLUMN(C93:BF93)-COLUMN(BJ93),2)=0))</f>
        <v>INTERESTED IN MATHS</v>
      </c>
      <c r="BI93" s="11"/>
      <c r="BJ93" s="11"/>
      <c r="BK93" s="8"/>
      <c r="BL93" s="11"/>
      <c r="BM93" s="11"/>
      <c r="BN93" s="11"/>
    </row>
    <row r="94" spans="1:66" ht="14.35" customHeight="1" x14ac:dyDescent="0.45">
      <c r="A94" s="32"/>
      <c r="B94" s="8" t="s">
        <v>40</v>
      </c>
      <c r="C94" s="8">
        <v>50</v>
      </c>
      <c r="D94" s="11" t="s">
        <v>104</v>
      </c>
      <c r="E94" s="15">
        <v>65</v>
      </c>
      <c r="F94" s="11" t="s">
        <v>104</v>
      </c>
      <c r="G94" s="8">
        <v>75</v>
      </c>
      <c r="H94" s="11" t="s">
        <v>127</v>
      </c>
      <c r="I94" s="22">
        <v>85</v>
      </c>
      <c r="J94" s="11" t="s">
        <v>222</v>
      </c>
      <c r="K94" s="8">
        <v>75</v>
      </c>
      <c r="L94" s="11" t="s">
        <v>205</v>
      </c>
      <c r="M94" s="17">
        <v>85</v>
      </c>
      <c r="N94" s="11" t="s">
        <v>222</v>
      </c>
      <c r="O94" s="11"/>
      <c r="P94" s="11"/>
      <c r="Q94" s="11"/>
      <c r="R94" s="11"/>
      <c r="S94" s="11"/>
      <c r="T94" s="11"/>
      <c r="U94" s="27">
        <v>90</v>
      </c>
      <c r="V94" s="11" t="s">
        <v>356</v>
      </c>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8">
        <f t="shared" si="3"/>
        <v>75</v>
      </c>
      <c r="BH94" s="12" t="str" cm="1">
        <f t="array" ref="BH94">_xlfn.TEXTJOIN(" ", TRUE, _xlfn._xlws.FILTER(C94:BF94, MOD(COLUMN(C94:BF94)-COLUMN(BJ94),2)=0))</f>
        <v>GOOD IN SHUTTLE GOOD IN SHUTTLE GOOD IN FOOTBALL PLAYING WELL SHUTTLE INTERESTED IN BASKET BALL PLAYING WELL SHUTTLE INTERESTED IN THROWBALL,FOOTBALL&amp;BADMINTON</v>
      </c>
      <c r="BI94" s="11"/>
      <c r="BJ94" s="11"/>
      <c r="BK94" s="8"/>
      <c r="BL94" s="11"/>
      <c r="BM94" s="11"/>
      <c r="BN94" s="11"/>
    </row>
    <row r="95" spans="1:66" ht="14.35" customHeight="1" x14ac:dyDescent="0.45">
      <c r="A95" s="32"/>
      <c r="B95" s="8" t="s">
        <v>41</v>
      </c>
      <c r="C95" s="8">
        <v>75</v>
      </c>
      <c r="D95" s="11" t="s">
        <v>103</v>
      </c>
      <c r="E95" s="15">
        <v>65</v>
      </c>
      <c r="F95" s="11" t="s">
        <v>129</v>
      </c>
      <c r="G95" s="8">
        <v>75</v>
      </c>
      <c r="H95" s="11" t="s">
        <v>103</v>
      </c>
      <c r="I95" s="11">
        <v>75</v>
      </c>
      <c r="J95" s="11" t="s">
        <v>223</v>
      </c>
      <c r="K95" s="8">
        <v>75</v>
      </c>
      <c r="L95" s="11" t="s">
        <v>170</v>
      </c>
      <c r="M95" s="8">
        <v>75</v>
      </c>
      <c r="N95" s="11" t="s">
        <v>223</v>
      </c>
      <c r="O95" s="11"/>
      <c r="P95" s="11"/>
      <c r="Q95" s="11"/>
      <c r="R95" s="11"/>
      <c r="S95" s="11"/>
      <c r="T95" s="11"/>
      <c r="U95" s="26">
        <v>85</v>
      </c>
      <c r="V95" s="11" t="s">
        <v>357</v>
      </c>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8">
        <f t="shared" si="3"/>
        <v>75</v>
      </c>
      <c r="BH95" s="12" t="str" cm="1">
        <f t="array" ref="BH95">_xlfn.TEXTJOIN(" ", TRUE, _xlfn._xlws.FILTER(C95:BF95, MOD(COLUMN(C95:BF95)-COLUMN(BJ95),2)=0))</f>
        <v>SHOWING INTEREST BUT NEED PRACTICE PERFORMING WELL NEED PRACTISE SHOWING INTEREST BUT NEED PRACTICE ANSWERING WELL ACTIVE PARTICEPATION INTERESTED IN TYPING ANSWERING WELL ACTIVE PARTICEPATION INTERESTED IN PHOTO EDITING</v>
      </c>
      <c r="BI95" s="11"/>
      <c r="BJ95" s="11"/>
      <c r="BK95" s="8"/>
      <c r="BL95" s="11"/>
      <c r="BM95" s="11"/>
      <c r="BN95" s="11"/>
    </row>
    <row r="96" spans="1:66" ht="14.35" customHeight="1" x14ac:dyDescent="0.45">
      <c r="A96" s="32"/>
      <c r="B96" s="8" t="s">
        <v>42</v>
      </c>
      <c r="C96" s="8">
        <v>50</v>
      </c>
      <c r="D96" s="11" t="s">
        <v>94</v>
      </c>
      <c r="E96" s="8">
        <v>50</v>
      </c>
      <c r="F96" s="11" t="s">
        <v>152</v>
      </c>
      <c r="G96" s="8">
        <v>50</v>
      </c>
      <c r="H96" s="11" t="s">
        <v>153</v>
      </c>
      <c r="I96" s="11">
        <v>75</v>
      </c>
      <c r="J96" s="11" t="s">
        <v>226</v>
      </c>
      <c r="K96" s="15">
        <v>65</v>
      </c>
      <c r="L96" s="11" t="s">
        <v>206</v>
      </c>
      <c r="M96" s="8">
        <v>75</v>
      </c>
      <c r="N96" s="11" t="s">
        <v>264</v>
      </c>
      <c r="O96" s="11">
        <v>70</v>
      </c>
      <c r="P96" s="11" t="s">
        <v>269</v>
      </c>
      <c r="Q96" s="11"/>
      <c r="R96" s="11"/>
      <c r="S96" s="11"/>
      <c r="T96" s="11"/>
      <c r="U96" s="26">
        <v>85</v>
      </c>
      <c r="V96" s="11" t="s">
        <v>350</v>
      </c>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8">
        <f t="shared" si="3"/>
        <v>65</v>
      </c>
      <c r="BH96" s="12" t="str" cm="1">
        <f t="array" ref="BH96">_xlfn.TEXTJOIN(" ", TRUE, _xlfn._xlws.FILTER(C96:BF96, MOD(COLUMN(C96:BF96)-COLUMN(BJ96),2)=0))</f>
        <v>GOOD  BUT NEED TO IMPROVE NEED MORE PRACTICE DOING WELL GOOD IN HOLIDING AND CONTRILLING THE PENCIL DEPICTING THE RANGE OF VALUES FROME LIGHT SHADOW INTERESTED IN ALL TYPES OF DRAWINGAS BUILDING GRADUAL TONAL TRASITION FOLLOWING THE MEASUREMENT CORRECTLY SHOWING WILLINGNESS IN DRAWING</v>
      </c>
      <c r="BI96" s="11"/>
      <c r="BJ96" s="11"/>
      <c r="BK96" s="8"/>
      <c r="BL96" s="11"/>
      <c r="BM96" s="11"/>
      <c r="BN96" s="11"/>
    </row>
    <row r="97" spans="1:66" ht="14.35" customHeight="1" x14ac:dyDescent="0.45">
      <c r="A97" s="32"/>
      <c r="B97" s="8" t="s">
        <v>43</v>
      </c>
      <c r="C97" s="8">
        <v>50</v>
      </c>
      <c r="D97" s="11" t="s">
        <v>75</v>
      </c>
      <c r="E97" s="8">
        <v>50</v>
      </c>
      <c r="F97" s="11" t="s">
        <v>117</v>
      </c>
      <c r="G97" s="8">
        <v>25</v>
      </c>
      <c r="H97" s="11" t="s">
        <v>122</v>
      </c>
      <c r="I97" s="11"/>
      <c r="J97" s="11" t="s">
        <v>163</v>
      </c>
      <c r="K97" s="8"/>
      <c r="L97" s="11"/>
      <c r="M97" s="8">
        <v>50</v>
      </c>
      <c r="N97" s="11" t="s">
        <v>253</v>
      </c>
      <c r="O97" s="11"/>
      <c r="P97" s="11"/>
      <c r="Q97" s="11">
        <v>55</v>
      </c>
      <c r="R97" s="11" t="s">
        <v>302</v>
      </c>
      <c r="S97" s="11"/>
      <c r="T97" s="11"/>
      <c r="U97" s="26">
        <v>85</v>
      </c>
      <c r="V97" s="11" t="s">
        <v>358</v>
      </c>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8">
        <f t="shared" si="3"/>
        <v>52.5</v>
      </c>
      <c r="BH97" s="12" t="str" cm="1">
        <f t="array" ref="BH97">_xlfn.TEXTJOIN(" ", TRUE, _xlfn._xlws.FILTER(C97:BF97, MOD(COLUMN(C97:BF97)-COLUMN(BJ97),2)=0))</f>
        <v>JUST PARTICIPATION DOING GOOD NEED TO PRACTISE VOCABULARY JUST PATCIPATION CLASS CANCELED GOOD IN READING BUT CAN BE IMPROVE NEED TO  IMPROVE CONCENTRACTION,GOOD AT READING  PREFER TO READ ACTION BOOKS</v>
      </c>
      <c r="BI97" s="11"/>
      <c r="BJ97" s="11"/>
      <c r="BK97" s="8"/>
      <c r="BL97" s="11"/>
      <c r="BM97" s="11"/>
      <c r="BN97" s="11"/>
    </row>
    <row r="98" spans="1:66" ht="14.35" customHeight="1" x14ac:dyDescent="0.45">
      <c r="A98" s="33"/>
      <c r="B98" s="8" t="s">
        <v>44</v>
      </c>
      <c r="C98" s="8"/>
      <c r="D98" s="11"/>
      <c r="E98" s="8"/>
      <c r="F98" s="11"/>
      <c r="G98" s="8"/>
      <c r="H98" s="11"/>
      <c r="I98" s="11"/>
      <c r="J98" s="11"/>
      <c r="K98" s="11"/>
      <c r="L98" s="11"/>
      <c r="M98" s="8"/>
      <c r="N98" s="11"/>
      <c r="O98" s="11"/>
      <c r="P98" s="11"/>
      <c r="Q98" s="11"/>
      <c r="R98" s="11"/>
      <c r="S98" s="11">
        <v>40</v>
      </c>
      <c r="T98" s="11" t="s">
        <v>322</v>
      </c>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8">
        <f t="shared" si="3"/>
        <v>40</v>
      </c>
      <c r="BH98" s="12" t="str" cm="1">
        <f t="array" ref="BH98">_xlfn.TEXTJOIN(" ", TRUE, _xlfn._xlws.FILTER(C98:BF98, MOD(COLUMN(C98:BF98)-COLUMN(BJ98),2)=0))</f>
        <v xml:space="preserve">CAN CAPABLE IN READING,BUT NEED TO FOCUSED ,DISTRACTEED </v>
      </c>
      <c r="BI98" s="11"/>
      <c r="BJ98" s="11"/>
      <c r="BK98" s="8"/>
      <c r="BL98" s="11"/>
      <c r="BM98" s="11"/>
      <c r="BN98" s="11"/>
    </row>
    <row r="99" spans="1:66" ht="14.35" customHeight="1" x14ac:dyDescent="0.45">
      <c r="A99" s="31" t="s">
        <v>105</v>
      </c>
      <c r="B99" s="8" t="s">
        <v>39</v>
      </c>
      <c r="C99" s="8"/>
      <c r="D99" s="11"/>
      <c r="E99" s="8"/>
      <c r="F99" s="11"/>
      <c r="G99" s="8"/>
      <c r="H99" s="11"/>
      <c r="I99" s="11"/>
      <c r="J99" s="11"/>
      <c r="K99" s="15">
        <v>65</v>
      </c>
      <c r="L99" s="11" t="s">
        <v>214</v>
      </c>
      <c r="M99" s="8"/>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8">
        <f t="shared" si="3"/>
        <v>65</v>
      </c>
      <c r="BH99" s="12" t="str" cm="1">
        <f t="array" ref="BH99">_xlfn.TEXTJOIN(" ", TRUE, _xlfn._xlws.FILTER(C99:BF99, MOD(COLUMN(C99:BF99)-COLUMN(BJ99),2)=0))</f>
        <v>INTERESTED IN ENGLISH</v>
      </c>
      <c r="BI99" s="11"/>
      <c r="BJ99" s="11"/>
      <c r="BK99" s="8"/>
      <c r="BL99" s="11"/>
      <c r="BM99" s="11"/>
      <c r="BN99" s="11"/>
    </row>
    <row r="100" spans="1:66" ht="14.35" customHeight="1" x14ac:dyDescent="0.45">
      <c r="A100" s="32"/>
      <c r="B100" s="8" t="s">
        <v>40</v>
      </c>
      <c r="C100" s="8">
        <v>50</v>
      </c>
      <c r="D100" s="11" t="s">
        <v>104</v>
      </c>
      <c r="E100" s="15">
        <v>65</v>
      </c>
      <c r="F100" s="11" t="s">
        <v>104</v>
      </c>
      <c r="G100" s="8">
        <v>75</v>
      </c>
      <c r="H100" s="11" t="s">
        <v>127</v>
      </c>
      <c r="I100" s="22">
        <v>85</v>
      </c>
      <c r="J100" s="11" t="s">
        <v>222</v>
      </c>
      <c r="K100" s="8">
        <v>75</v>
      </c>
      <c r="L100" s="11" t="s">
        <v>213</v>
      </c>
      <c r="M100" s="17">
        <v>85</v>
      </c>
      <c r="N100" s="11" t="s">
        <v>222</v>
      </c>
      <c r="O100" s="11"/>
      <c r="P100" s="11"/>
      <c r="Q100" s="11"/>
      <c r="R100" s="11"/>
      <c r="S100" s="11"/>
      <c r="T100" s="11"/>
      <c r="U100" s="26">
        <v>85</v>
      </c>
      <c r="V100" s="11" t="s">
        <v>352</v>
      </c>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8">
        <f t="shared" ref="BG100:BG163" si="4">IFERROR(AVERAGEIF(C100:BE100,"&lt;&gt;nill"), "")</f>
        <v>74.285714285714292</v>
      </c>
      <c r="BH100" s="12" t="str" cm="1">
        <f t="array" ref="BH100">_xlfn.TEXTJOIN(" ", TRUE, _xlfn._xlws.FILTER(C100:BF100, MOD(COLUMN(C100:BF100)-COLUMN(BJ100),2)=0))</f>
        <v>GOOD IN SHUTTLE GOOD IN SHUTTLE GOOD IN FOOTBALL PLAYING WELL SHUTTLE INTERESTED IN VALLEY BALL PLAYING WELL SHUTTLE INTERESTED IN FOOTBALL&amp;PARTICIPATED IN RUNNING ALSO</v>
      </c>
      <c r="BI100" s="11"/>
      <c r="BJ100" s="11"/>
      <c r="BK100" s="8"/>
      <c r="BL100" s="11"/>
      <c r="BM100" s="11"/>
      <c r="BN100" s="11"/>
    </row>
    <row r="101" spans="1:66" ht="14.35" customHeight="1" x14ac:dyDescent="0.45">
      <c r="A101" s="32"/>
      <c r="B101" s="8" t="s">
        <v>41</v>
      </c>
      <c r="C101" s="8">
        <v>75</v>
      </c>
      <c r="D101" s="11" t="s">
        <v>103</v>
      </c>
      <c r="E101" s="15">
        <v>65</v>
      </c>
      <c r="F101" s="11" t="s">
        <v>129</v>
      </c>
      <c r="G101" s="8">
        <v>75</v>
      </c>
      <c r="H101" s="11" t="s">
        <v>103</v>
      </c>
      <c r="I101" s="11">
        <v>75</v>
      </c>
      <c r="J101" s="11" t="s">
        <v>223</v>
      </c>
      <c r="K101" s="8">
        <v>75</v>
      </c>
      <c r="L101" s="11" t="s">
        <v>170</v>
      </c>
      <c r="M101" s="8">
        <v>75</v>
      </c>
      <c r="N101" s="11" t="s">
        <v>223</v>
      </c>
      <c r="O101" s="11"/>
      <c r="P101" s="11"/>
      <c r="Q101" s="11"/>
      <c r="R101" s="11"/>
      <c r="S101" s="11"/>
      <c r="T101" s="11"/>
      <c r="U101" s="11">
        <v>75</v>
      </c>
      <c r="V101" s="11" t="s">
        <v>343</v>
      </c>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8">
        <f t="shared" si="4"/>
        <v>73.571428571428569</v>
      </c>
      <c r="BH101" s="12" t="str" cm="1">
        <f t="array" ref="BH101">_xlfn.TEXTJOIN(" ", TRUE, _xlfn._xlws.FILTER(C101:BF101, MOD(COLUMN(C101:BF101)-COLUMN(BJ101),2)=0))</f>
        <v>SHOWING INTEREST BUT NEED PRACTICE PERFORMING WELL NEED PRACTISE SHOWING INTEREST BUT NEED PRACTICE ANSWERING WELL ACTIVE PARTICEPATION INTERESTED IN TYPING ANSWERING WELL ACTIVE PARTICEPATION JUST LEARNING BASIC SKILLS</v>
      </c>
      <c r="BI101" s="11"/>
      <c r="BJ101" s="11"/>
      <c r="BK101" s="8"/>
      <c r="BL101" s="11"/>
      <c r="BM101" s="11"/>
      <c r="BN101" s="11"/>
    </row>
    <row r="102" spans="1:66" ht="14.35" customHeight="1" x14ac:dyDescent="0.45">
      <c r="A102" s="32"/>
      <c r="B102" s="8" t="s">
        <v>42</v>
      </c>
      <c r="C102" s="8">
        <v>50</v>
      </c>
      <c r="D102" s="11" t="s">
        <v>75</v>
      </c>
      <c r="E102" s="8">
        <v>50</v>
      </c>
      <c r="F102" s="11" t="s">
        <v>154</v>
      </c>
      <c r="G102" s="8">
        <v>50</v>
      </c>
      <c r="H102" s="11" t="s">
        <v>148</v>
      </c>
      <c r="I102" s="23">
        <v>65</v>
      </c>
      <c r="J102" s="11" t="s">
        <v>228</v>
      </c>
      <c r="K102" s="8"/>
      <c r="L102" s="11"/>
      <c r="M102" s="8">
        <v>70</v>
      </c>
      <c r="N102" s="11" t="s">
        <v>265</v>
      </c>
      <c r="O102" s="11">
        <v>75</v>
      </c>
      <c r="P102" s="11" t="s">
        <v>282</v>
      </c>
      <c r="Q102" s="11"/>
      <c r="R102" s="11"/>
      <c r="S102" s="11"/>
      <c r="T102" s="11"/>
      <c r="U102" s="29">
        <v>80</v>
      </c>
      <c r="V102" s="11" t="s">
        <v>350</v>
      </c>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8">
        <f t="shared" si="4"/>
        <v>62.857142857142854</v>
      </c>
      <c r="BH102" s="12" t="str" cm="1">
        <f t="array" ref="BH102">_xlfn.TEXTJOIN(" ", TRUE, _xlfn._xlws.FILTER(C102:BF102, MOD(COLUMN(C102:BF102)-COLUMN(BJ102),2)=0))</f>
        <v>JUST PARTICIPATION UTILIZING LINES AND TONES OF THE SURFACE TO CREATE THE IMAGE GOOD OBSERVATION SKILLS ACTIVE PARTICEPATION NEED PRACTICE CREATING SMOOTH SOFT EDGES NEED TO MENTION THE HORIZONTAL LINES SHOWING WILLINGNESS IN DRAWING</v>
      </c>
      <c r="BI102" s="11"/>
      <c r="BJ102" s="11"/>
      <c r="BK102" s="8"/>
      <c r="BL102" s="11"/>
      <c r="BM102" s="11"/>
      <c r="BN102" s="11"/>
    </row>
    <row r="103" spans="1:66" ht="14.35" customHeight="1" x14ac:dyDescent="0.45">
      <c r="A103" s="32"/>
      <c r="B103" s="8" t="s">
        <v>43</v>
      </c>
      <c r="C103" s="8" t="s">
        <v>82</v>
      </c>
      <c r="D103" s="11" t="s">
        <v>83</v>
      </c>
      <c r="E103" s="8" t="s">
        <v>82</v>
      </c>
      <c r="F103" s="11" t="s">
        <v>83</v>
      </c>
      <c r="G103" s="8">
        <v>50</v>
      </c>
      <c r="H103" s="11" t="s">
        <v>100</v>
      </c>
      <c r="I103" s="11"/>
      <c r="J103" s="11" t="s">
        <v>163</v>
      </c>
      <c r="K103" s="15">
        <v>65</v>
      </c>
      <c r="L103" s="11" t="s">
        <v>178</v>
      </c>
      <c r="M103" s="8">
        <v>50</v>
      </c>
      <c r="N103" s="11" t="s">
        <v>250</v>
      </c>
      <c r="O103" s="11"/>
      <c r="P103" s="11"/>
      <c r="Q103" s="11" t="s">
        <v>82</v>
      </c>
      <c r="R103" s="11" t="s">
        <v>82</v>
      </c>
      <c r="S103" s="11">
        <v>45</v>
      </c>
      <c r="T103" s="11" t="s">
        <v>323</v>
      </c>
      <c r="U103" s="29">
        <v>80</v>
      </c>
      <c r="V103" s="11" t="s">
        <v>389</v>
      </c>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8">
        <f t="shared" si="4"/>
        <v>58</v>
      </c>
      <c r="BH103" s="12" t="str" cm="1">
        <f t="array" ref="BH103">_xlfn.TEXTJOIN(" ", TRUE, _xlfn._xlws.FILTER(C103:BF103, MOD(COLUMN(C103:BF103)-COLUMN(BJ103),2)=0))</f>
        <v>ABSENT ABSENT AVERAGE PARTCIPATION CLASS CANCELED INTERESTED IN STORY BOOKS GOOD IN READING BUT NEED TO FOCUS AB AVEREAGE PARTICIPATION,LIKELY NOT INTRESTED IN READING PREFER COMIC BOOKS TO READ</v>
      </c>
      <c r="BI103" s="11"/>
      <c r="BJ103" s="11"/>
      <c r="BK103" s="8"/>
      <c r="BL103" s="11"/>
      <c r="BM103" s="11"/>
      <c r="BN103" s="11"/>
    </row>
    <row r="104" spans="1:66" ht="14.35" customHeight="1" x14ac:dyDescent="0.45">
      <c r="A104" s="33"/>
      <c r="B104" s="8" t="s">
        <v>44</v>
      </c>
      <c r="C104" s="8"/>
      <c r="D104" s="11"/>
      <c r="E104" s="8"/>
      <c r="F104" s="11"/>
      <c r="G104" s="8"/>
      <c r="H104" s="11"/>
      <c r="I104" s="11"/>
      <c r="J104" s="11"/>
      <c r="K104" s="11"/>
      <c r="L104" s="11"/>
      <c r="M104" s="8"/>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8" t="str">
        <f t="shared" si="4"/>
        <v/>
      </c>
      <c r="BH104" s="12" t="str" cm="1">
        <f t="array" ref="BH104">_xlfn.TEXTJOIN(" ", TRUE, _xlfn._xlws.FILTER(C104:BF104, MOD(COLUMN(C104:BF104)-COLUMN(BJ104),2)=0))</f>
        <v/>
      </c>
      <c r="BI104" s="11"/>
      <c r="BJ104" s="11"/>
      <c r="BK104" s="8"/>
      <c r="BL104" s="11"/>
      <c r="BM104" s="11"/>
      <c r="BN104" s="11"/>
    </row>
    <row r="105" spans="1:66" ht="14.35" customHeight="1" x14ac:dyDescent="0.45">
      <c r="A105" s="31" t="s">
        <v>57</v>
      </c>
      <c r="B105" s="8" t="s">
        <v>39</v>
      </c>
      <c r="C105" s="8"/>
      <c r="D105" s="11"/>
      <c r="E105" s="8"/>
      <c r="F105" s="11"/>
      <c r="G105" s="8"/>
      <c r="H105" s="11"/>
      <c r="I105" s="11"/>
      <c r="J105" s="11"/>
      <c r="K105" s="15">
        <v>65</v>
      </c>
      <c r="L105" s="11" t="s">
        <v>197</v>
      </c>
      <c r="M105" s="8"/>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8">
        <f t="shared" si="4"/>
        <v>65</v>
      </c>
      <c r="BH105" s="12" t="str" cm="1">
        <f t="array" ref="BH105">_xlfn.TEXTJOIN(" ", TRUE, _xlfn._xlws.FILTER(C105:BF105, MOD(COLUMN(C105:BF105)-COLUMN(BJ105),2)=0))</f>
        <v>INTERESTED IN MATHS</v>
      </c>
      <c r="BI105" s="11"/>
      <c r="BJ105" s="11"/>
      <c r="BK105" s="8"/>
      <c r="BL105" s="11"/>
      <c r="BM105" s="11"/>
      <c r="BN105" s="11"/>
    </row>
    <row r="106" spans="1:66" ht="14.35" customHeight="1" x14ac:dyDescent="0.45">
      <c r="A106" s="32"/>
      <c r="B106" s="8" t="s">
        <v>40</v>
      </c>
      <c r="C106" s="8">
        <v>50</v>
      </c>
      <c r="D106" s="11" t="s">
        <v>104</v>
      </c>
      <c r="E106" s="15">
        <v>65</v>
      </c>
      <c r="F106" s="11" t="s">
        <v>104</v>
      </c>
      <c r="G106" s="8">
        <v>75</v>
      </c>
      <c r="H106" s="11" t="s">
        <v>127</v>
      </c>
      <c r="I106" s="22">
        <v>85</v>
      </c>
      <c r="J106" s="11" t="s">
        <v>222</v>
      </c>
      <c r="K106" s="8">
        <v>75</v>
      </c>
      <c r="L106" s="11" t="s">
        <v>207</v>
      </c>
      <c r="M106" s="17">
        <v>85</v>
      </c>
      <c r="N106" s="11" t="s">
        <v>222</v>
      </c>
      <c r="O106" s="11"/>
      <c r="P106" s="11"/>
      <c r="Q106" s="11"/>
      <c r="R106" s="11"/>
      <c r="S106" s="11"/>
      <c r="T106" s="11"/>
      <c r="U106" s="27">
        <v>90</v>
      </c>
      <c r="V106" s="11" t="s">
        <v>361</v>
      </c>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8">
        <f t="shared" si="4"/>
        <v>75</v>
      </c>
      <c r="BH106" s="12" t="str" cm="1">
        <f t="array" ref="BH106">_xlfn.TEXTJOIN(" ", TRUE, _xlfn._xlws.FILTER(C106:BF106, MOD(COLUMN(C106:BF106)-COLUMN(BJ106),2)=0))</f>
        <v>GOOD IN SHUTTLE GOOD IN SHUTTLE GOOD IN FOOTBALL PLAYING WELL SHUTTLE INTERESTED IN VALLEYBALL PLAYING WELL SHUTTLE INTERESTED IN CRICKET LIKES TO PLAY BATTING&amp;BOWLING</v>
      </c>
      <c r="BI106" s="11"/>
      <c r="BJ106" s="11"/>
      <c r="BK106" s="8"/>
      <c r="BL106" s="11"/>
      <c r="BM106" s="11"/>
      <c r="BN106" s="11"/>
    </row>
    <row r="107" spans="1:66" ht="14.35" customHeight="1" x14ac:dyDescent="0.45">
      <c r="A107" s="32"/>
      <c r="B107" s="8" t="s">
        <v>41</v>
      </c>
      <c r="C107" s="8">
        <v>75</v>
      </c>
      <c r="D107" s="11" t="s">
        <v>103</v>
      </c>
      <c r="E107" s="15">
        <v>65</v>
      </c>
      <c r="F107" s="11" t="s">
        <v>129</v>
      </c>
      <c r="G107" s="8">
        <v>75</v>
      </c>
      <c r="H107" s="11" t="s">
        <v>103</v>
      </c>
      <c r="I107" s="11">
        <v>75</v>
      </c>
      <c r="J107" s="11" t="s">
        <v>223</v>
      </c>
      <c r="K107" s="8">
        <v>75</v>
      </c>
      <c r="L107" s="11" t="s">
        <v>219</v>
      </c>
      <c r="M107" s="8">
        <v>75</v>
      </c>
      <c r="N107" s="11" t="s">
        <v>223</v>
      </c>
      <c r="O107" s="11"/>
      <c r="P107" s="11"/>
      <c r="Q107" s="11"/>
      <c r="R107" s="11"/>
      <c r="S107" s="11"/>
      <c r="T107" s="11"/>
      <c r="U107" s="26">
        <v>85</v>
      </c>
      <c r="V107" s="11" t="s">
        <v>362</v>
      </c>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8">
        <f t="shared" si="4"/>
        <v>75</v>
      </c>
      <c r="BH107" s="12" t="str" cm="1">
        <f t="array" ref="BH107">_xlfn.TEXTJOIN(" ", TRUE, _xlfn._xlws.FILTER(C107:BF107, MOD(COLUMN(C107:BF107)-COLUMN(BJ107),2)=0))</f>
        <v>SHOWING INTEREST BUT NEED PRACTICE PERFORMING WELL NEED PRACTISE SHOWING INTEREST BUT NEED PRACTICE ANSWERING WELL ACTIVE PARTICEPATION INTERSTED IN TYPING ANSWERING WELL ACTIVE PARTICEPATION LEARNING PHOTO EDITING</v>
      </c>
      <c r="BI107" s="11"/>
      <c r="BJ107" s="11"/>
      <c r="BK107" s="8"/>
      <c r="BL107" s="11"/>
      <c r="BM107" s="11"/>
      <c r="BN107" s="11"/>
    </row>
    <row r="108" spans="1:66" ht="14.35" customHeight="1" x14ac:dyDescent="0.45">
      <c r="A108" s="32"/>
      <c r="B108" s="8" t="s">
        <v>42</v>
      </c>
      <c r="C108" s="17">
        <v>85</v>
      </c>
      <c r="D108" s="11" t="s">
        <v>102</v>
      </c>
      <c r="E108" s="8">
        <v>50</v>
      </c>
      <c r="F108" s="11" t="s">
        <v>155</v>
      </c>
      <c r="G108" s="15">
        <v>65</v>
      </c>
      <c r="H108" s="11" t="s">
        <v>156</v>
      </c>
      <c r="I108" s="11">
        <v>75</v>
      </c>
      <c r="J108" s="11" t="s">
        <v>235</v>
      </c>
      <c r="K108" s="8">
        <v>75</v>
      </c>
      <c r="L108" s="11" t="s">
        <v>201</v>
      </c>
      <c r="M108" s="8">
        <v>65</v>
      </c>
      <c r="N108" s="11" t="s">
        <v>266</v>
      </c>
      <c r="O108" s="11">
        <v>75</v>
      </c>
      <c r="P108" s="11" t="s">
        <v>283</v>
      </c>
      <c r="Q108" s="11"/>
      <c r="R108" s="11"/>
      <c r="S108" s="11"/>
      <c r="T108" s="11"/>
      <c r="U108" s="26">
        <v>85</v>
      </c>
      <c r="V108" s="11" t="s">
        <v>350</v>
      </c>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8">
        <f t="shared" si="4"/>
        <v>71.875</v>
      </c>
      <c r="BH108" s="12" t="str" cm="1">
        <f t="array" ref="BH108">_xlfn.TEXTJOIN(" ", TRUE, _xlfn._xlws.FILTER(C108:BF108, MOD(COLUMN(C108:BF108)-COLUMN(BJ108),2)=0))</f>
        <v>GOOD OBSERVATION DRAWING NEATLY USING EDGES AND OUTLINE GOOD IN VISUAL  COMPONENTS LIKE COLOURING BUILDING UP VALUES AND CREATE SMOOTH SOFT EDGES LAYERING HATCHMARK AT DIFFERENT ANGLES INTERESTED IN ANIME DRAWINGS LAYERING HATCH MARKS AT DIFFERENT ANGLES FOLLOWING VERTICAL&amp;HORIZONTAL LINES SHOWING WILLINGNESS IN DRAWING</v>
      </c>
      <c r="BI108" s="11"/>
      <c r="BJ108" s="11"/>
      <c r="BK108" s="8"/>
      <c r="BL108" s="11"/>
      <c r="BM108" s="11"/>
      <c r="BN108" s="11"/>
    </row>
    <row r="109" spans="1:66" ht="14.35" customHeight="1" x14ac:dyDescent="0.45">
      <c r="A109" s="32"/>
      <c r="B109" s="8" t="s">
        <v>43</v>
      </c>
      <c r="C109" s="8">
        <v>50</v>
      </c>
      <c r="D109" s="11" t="s">
        <v>75</v>
      </c>
      <c r="E109" s="8">
        <v>50</v>
      </c>
      <c r="F109" s="11" t="s">
        <v>117</v>
      </c>
      <c r="G109" s="8">
        <v>25</v>
      </c>
      <c r="H109" s="11" t="s">
        <v>122</v>
      </c>
      <c r="I109" s="11"/>
      <c r="J109" s="11" t="s">
        <v>163</v>
      </c>
      <c r="K109" s="8"/>
      <c r="L109" s="11"/>
      <c r="M109" s="8">
        <v>50</v>
      </c>
      <c r="N109" s="11" t="s">
        <v>100</v>
      </c>
      <c r="O109" s="11"/>
      <c r="P109" s="11"/>
      <c r="Q109" s="11">
        <v>55</v>
      </c>
      <c r="R109" s="11" t="s">
        <v>303</v>
      </c>
      <c r="S109" s="11">
        <v>60</v>
      </c>
      <c r="T109" s="11" t="s">
        <v>324</v>
      </c>
      <c r="U109" s="26">
        <v>85</v>
      </c>
      <c r="V109" s="11" t="s">
        <v>363</v>
      </c>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8">
        <f t="shared" si="4"/>
        <v>53.571428571428569</v>
      </c>
      <c r="BH109" s="12" t="str" cm="1">
        <f t="array" ref="BH109">_xlfn.TEXTJOIN(" ", TRUE, _xlfn._xlws.FILTER(C109:BF109, MOD(COLUMN(C109:BF109)-COLUMN(BJ109),2)=0))</f>
        <v>JUST PARTICIPATION DOING GOOD NEED TO PRACTISE VOCABULARY JUST PATCIPATION CLASS CANCELED AVERAGE PARTCIPATION NEED TO IMPROV IN PARAGRAPH READING GOOD  AT EXPLANATION ,CAN IMPROVE IN BUILDING STORY CONFIDENT IN READING PREFER TO READ ANIMATION BOOKS</v>
      </c>
      <c r="BI109" s="11"/>
      <c r="BJ109" s="11"/>
      <c r="BK109" s="8"/>
      <c r="BL109" s="11"/>
      <c r="BM109" s="11"/>
      <c r="BN109" s="11"/>
    </row>
    <row r="110" spans="1:66" ht="14.35" customHeight="1" x14ac:dyDescent="0.45">
      <c r="A110" s="33"/>
      <c r="B110" s="8" t="s">
        <v>44</v>
      </c>
      <c r="C110" s="8"/>
      <c r="D110" s="11"/>
      <c r="E110" s="8"/>
      <c r="F110" s="11"/>
      <c r="G110" s="8"/>
      <c r="H110" s="11"/>
      <c r="I110" s="11"/>
      <c r="J110" s="11"/>
      <c r="K110" s="11"/>
      <c r="L110" s="11"/>
      <c r="M110" s="8"/>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8" t="str">
        <f t="shared" si="4"/>
        <v/>
      </c>
      <c r="BH110" s="12" t="str" cm="1">
        <f t="array" ref="BH110">_xlfn.TEXTJOIN(" ", TRUE, _xlfn._xlws.FILTER(C110:BF110, MOD(COLUMN(C110:BF110)-COLUMN(BJ110),2)=0))</f>
        <v/>
      </c>
      <c r="BI110" s="11"/>
      <c r="BJ110" s="11"/>
      <c r="BK110" s="8"/>
      <c r="BL110" s="11"/>
      <c r="BM110" s="11"/>
      <c r="BN110" s="11"/>
    </row>
    <row r="111" spans="1:66" ht="14.35" customHeight="1" x14ac:dyDescent="0.45">
      <c r="A111" s="31" t="s">
        <v>58</v>
      </c>
      <c r="B111" s="8" t="s">
        <v>39</v>
      </c>
      <c r="C111" s="8"/>
      <c r="D111" s="11"/>
      <c r="E111" s="8"/>
      <c r="F111" s="11"/>
      <c r="G111" s="8"/>
      <c r="H111" s="11"/>
      <c r="I111" s="11"/>
      <c r="J111" s="11"/>
      <c r="K111" s="15">
        <v>65</v>
      </c>
      <c r="L111" s="11" t="s">
        <v>208</v>
      </c>
      <c r="M111" s="8"/>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8">
        <f t="shared" si="4"/>
        <v>65</v>
      </c>
      <c r="BH111" s="12" t="str" cm="1">
        <f t="array" ref="BH111">_xlfn.TEXTJOIN(" ", TRUE, _xlfn._xlws.FILTER(C111:BF111, MOD(COLUMN(C111:BF111)-COLUMN(BJ111),2)=0))</f>
        <v>INTERESTED IN BIOLOGY, PHYSICS</v>
      </c>
      <c r="BI111" s="11"/>
      <c r="BJ111" s="11"/>
      <c r="BK111" s="8"/>
      <c r="BL111" s="11"/>
      <c r="BM111" s="11"/>
      <c r="BN111" s="11"/>
    </row>
    <row r="112" spans="1:66" ht="14.35" customHeight="1" x14ac:dyDescent="0.45">
      <c r="A112" s="32"/>
      <c r="B112" s="8" t="s">
        <v>40</v>
      </c>
      <c r="C112" s="8">
        <v>50</v>
      </c>
      <c r="D112" s="11" t="s">
        <v>104</v>
      </c>
      <c r="E112" s="15">
        <v>65</v>
      </c>
      <c r="F112" s="11" t="s">
        <v>104</v>
      </c>
      <c r="G112" s="8">
        <v>75</v>
      </c>
      <c r="H112" s="11" t="s">
        <v>127</v>
      </c>
      <c r="I112" s="22">
        <v>85</v>
      </c>
      <c r="J112" s="11" t="s">
        <v>222</v>
      </c>
      <c r="K112" s="8">
        <v>75</v>
      </c>
      <c r="L112" s="11" t="s">
        <v>183</v>
      </c>
      <c r="M112" s="17">
        <v>85</v>
      </c>
      <c r="N112" s="11" t="s">
        <v>222</v>
      </c>
      <c r="O112" s="11"/>
      <c r="P112" s="11"/>
      <c r="Q112" s="11"/>
      <c r="R112" s="11"/>
      <c r="S112" s="11"/>
      <c r="T112" s="11"/>
      <c r="U112" s="26">
        <v>85</v>
      </c>
      <c r="V112" s="11" t="s">
        <v>345</v>
      </c>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8">
        <f t="shared" si="4"/>
        <v>74.285714285714292</v>
      </c>
      <c r="BH112" s="12" t="str" cm="1">
        <f t="array" ref="BH112">_xlfn.TEXTJOIN(" ", TRUE, _xlfn._xlws.FILTER(C112:BF112, MOD(COLUMN(C112:BF112)-COLUMN(BJ112),2)=0))</f>
        <v>GOOD IN SHUTTLE GOOD IN SHUTTLE GOOD IN FOOTBALL PLAYING WELL SHUTTLE INTERESTED IN CRICKET PLAYING WELL SHUTTLE INTERESTED IN CRICKET PREFER TO PLAY BATTING &amp;KEEPING</v>
      </c>
      <c r="BI112" s="11"/>
      <c r="BJ112" s="11"/>
      <c r="BK112" s="8"/>
      <c r="BL112" s="11"/>
      <c r="BM112" s="11"/>
      <c r="BN112" s="11"/>
    </row>
    <row r="113" spans="1:66" ht="14.35" customHeight="1" x14ac:dyDescent="0.45">
      <c r="A113" s="32"/>
      <c r="B113" s="8" t="s">
        <v>41</v>
      </c>
      <c r="C113" s="8">
        <v>75</v>
      </c>
      <c r="D113" s="11" t="s">
        <v>103</v>
      </c>
      <c r="E113" s="15">
        <v>65</v>
      </c>
      <c r="F113" s="11" t="s">
        <v>129</v>
      </c>
      <c r="G113" s="8">
        <v>75</v>
      </c>
      <c r="H113" s="11" t="s">
        <v>103</v>
      </c>
      <c r="I113" s="11">
        <v>75</v>
      </c>
      <c r="J113" s="11" t="s">
        <v>223</v>
      </c>
      <c r="K113" s="8">
        <v>75</v>
      </c>
      <c r="L113" s="11" t="s">
        <v>170</v>
      </c>
      <c r="M113" s="8">
        <v>75</v>
      </c>
      <c r="N113" s="11" t="s">
        <v>223</v>
      </c>
      <c r="O113" s="11"/>
      <c r="P113" s="11"/>
      <c r="Q113" s="11"/>
      <c r="R113" s="11"/>
      <c r="S113" s="11"/>
      <c r="T113" s="11"/>
      <c r="U113" s="11">
        <v>75</v>
      </c>
      <c r="V113" s="11" t="s">
        <v>343</v>
      </c>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8">
        <f t="shared" si="4"/>
        <v>73.571428571428569</v>
      </c>
      <c r="BH113" s="12" t="str" cm="1">
        <f t="array" ref="BH113">_xlfn.TEXTJOIN(" ", TRUE, _xlfn._xlws.FILTER(C113:BF113, MOD(COLUMN(C113:BF113)-COLUMN(BJ113),2)=0))</f>
        <v>SHOWING INTEREST BUT NEED PRACTICE PERFORMING WELL NEED PRACTISE SHOWING INTEREST BUT NEED PRACTICE ANSWERING WELL ACTIVE PARTICEPATION INTERESTED IN TYPING ANSWERING WELL ACTIVE PARTICEPATION JUST LEARNING BASIC SKILLS</v>
      </c>
      <c r="BI113" s="11"/>
      <c r="BJ113" s="11"/>
      <c r="BK113" s="8"/>
      <c r="BL113" s="11"/>
      <c r="BM113" s="11"/>
      <c r="BN113" s="11"/>
    </row>
    <row r="114" spans="1:66" ht="14.35" customHeight="1" x14ac:dyDescent="0.45">
      <c r="A114" s="32"/>
      <c r="B114" s="8" t="s">
        <v>42</v>
      </c>
      <c r="C114" s="8">
        <v>50</v>
      </c>
      <c r="D114" s="11" t="s">
        <v>96</v>
      </c>
      <c r="E114" s="8">
        <v>50</v>
      </c>
      <c r="F114" s="11" t="s">
        <v>118</v>
      </c>
      <c r="G114" s="15">
        <v>65</v>
      </c>
      <c r="H114" s="11" t="s">
        <v>157</v>
      </c>
      <c r="I114" s="8">
        <v>75</v>
      </c>
      <c r="J114" s="11" t="s">
        <v>238</v>
      </c>
      <c r="K114" s="8">
        <v>75</v>
      </c>
      <c r="L114" s="11" t="s">
        <v>201</v>
      </c>
      <c r="M114" s="8">
        <v>75</v>
      </c>
      <c r="N114" s="11" t="s">
        <v>148</v>
      </c>
      <c r="O114" s="11">
        <v>75</v>
      </c>
      <c r="P114" s="11" t="s">
        <v>284</v>
      </c>
      <c r="Q114" s="11"/>
      <c r="R114" s="11"/>
      <c r="S114" s="11"/>
      <c r="T114" s="11"/>
      <c r="U114" s="29">
        <v>80</v>
      </c>
      <c r="V114" s="11" t="s">
        <v>346</v>
      </c>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8">
        <f t="shared" si="4"/>
        <v>68.125</v>
      </c>
      <c r="BH114" s="12" t="str" cm="1">
        <f t="array" ref="BH114">_xlfn.TEXTJOIN(" ", TRUE, _xlfn._xlws.FILTER(C114:BF114, MOD(COLUMN(C114:BF114)-COLUMN(BJ114),2)=0))</f>
        <v>DOING GOOD NEED TO IMPROVE MORE AVERAGE PERFORMANCE HIGHLIGHTING TO CORE SHADOWS AND CASTE SHADOWS SMOOTH FINISHING VERY CONCENTRATED INTERESTED IN ANIME DRAWINGS GOOD OBSERVATION SKILLS USING CORRECT MEASUREMENT GOOD OBSERVATION</v>
      </c>
      <c r="BI114" s="11"/>
      <c r="BJ114" s="11"/>
      <c r="BK114" s="8"/>
      <c r="BL114" s="11"/>
      <c r="BM114" s="11"/>
      <c r="BN114" s="11"/>
    </row>
    <row r="115" spans="1:66" ht="14.35" customHeight="1" x14ac:dyDescent="0.45">
      <c r="A115" s="32"/>
      <c r="B115" s="8" t="s">
        <v>43</v>
      </c>
      <c r="C115" s="8">
        <v>50</v>
      </c>
      <c r="D115" s="11" t="s">
        <v>76</v>
      </c>
      <c r="E115" s="8">
        <v>50</v>
      </c>
      <c r="F115" s="11" t="s">
        <v>106</v>
      </c>
      <c r="G115" s="8">
        <v>50</v>
      </c>
      <c r="H115" s="11" t="s">
        <v>123</v>
      </c>
      <c r="I115" s="11"/>
      <c r="J115" s="11" t="s">
        <v>163</v>
      </c>
      <c r="K115" s="8"/>
      <c r="L115" s="11"/>
      <c r="M115" s="8">
        <v>50</v>
      </c>
      <c r="N115" s="11" t="s">
        <v>251</v>
      </c>
      <c r="O115" s="11"/>
      <c r="P115" s="11"/>
      <c r="Q115" s="11">
        <v>55</v>
      </c>
      <c r="R115" s="11" t="s">
        <v>304</v>
      </c>
      <c r="S115" s="11"/>
      <c r="T115" s="11"/>
      <c r="U115" s="27">
        <v>90</v>
      </c>
      <c r="V115" s="11" t="s">
        <v>347</v>
      </c>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8">
        <f t="shared" si="4"/>
        <v>57.5</v>
      </c>
      <c r="BH115" s="12" t="str" cm="1">
        <f t="array" ref="BH115">_xlfn.TEXTJOIN(" ", TRUE, _xlfn._xlws.FILTER(C115:BF115, MOD(COLUMN(C115:BF115)-COLUMN(BJ115),2)=0))</f>
        <v>AVERAGE PARTICIPATION DOING GOOD BUT NEED TO CONCENTRATE GOOD IN READING NEED TO IMPROVE VOCABULARY CLASS CANCELED GOOD IN CONCENTRATION BUT NEED TO FOCUS INTERESTED IN NEWPAPER READING, CAN PERFORM WELL                                                                                                                                                               PREFER TO READ ABOUT MIGHTY HEROES&amp; KINGS STORIES</v>
      </c>
      <c r="BI115" s="11"/>
      <c r="BJ115" s="11"/>
      <c r="BK115" s="8"/>
      <c r="BL115" s="11"/>
      <c r="BM115" s="11"/>
      <c r="BN115" s="11"/>
    </row>
    <row r="116" spans="1:66" ht="14.35" customHeight="1" x14ac:dyDescent="0.45">
      <c r="A116" s="33"/>
      <c r="B116" s="8" t="s">
        <v>44</v>
      </c>
      <c r="C116" s="8"/>
      <c r="D116" s="11"/>
      <c r="E116" s="8"/>
      <c r="F116" s="11"/>
      <c r="G116" s="8"/>
      <c r="H116" s="11"/>
      <c r="I116" s="11"/>
      <c r="J116" s="11"/>
      <c r="K116" s="11"/>
      <c r="L116" s="11"/>
      <c r="M116" s="8"/>
      <c r="N116" s="11"/>
      <c r="O116" s="11"/>
      <c r="P116" s="11"/>
      <c r="Q116" s="11"/>
      <c r="R116" s="11"/>
      <c r="S116" s="11">
        <v>55</v>
      </c>
      <c r="T116" s="11" t="s">
        <v>325</v>
      </c>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8">
        <f t="shared" si="4"/>
        <v>55</v>
      </c>
      <c r="BH116" s="12" t="str" cm="1">
        <f t="array" ref="BH116">_xlfn.TEXTJOIN(" ", TRUE, _xlfn._xlws.FILTER(C116:BF116, MOD(COLUMN(C116:BF116)-COLUMN(BJ116),2)=0))</f>
        <v>INTERESTED IN READING,NEED TO IMPROVE IN VOCABULARY&amp;IN STORY LINES</v>
      </c>
      <c r="BI116" s="11"/>
      <c r="BJ116" s="11"/>
      <c r="BK116" s="8"/>
      <c r="BL116" s="11"/>
      <c r="BM116" s="11"/>
      <c r="BN116" s="11"/>
    </row>
    <row r="117" spans="1:66" ht="14.35" customHeight="1" x14ac:dyDescent="0.45">
      <c r="A117" s="31" t="s">
        <v>110</v>
      </c>
      <c r="B117" s="14" t="s">
        <v>39</v>
      </c>
      <c r="C117" s="8"/>
      <c r="D117" s="11"/>
      <c r="E117" s="8"/>
      <c r="F117" s="11"/>
      <c r="G117" s="8"/>
      <c r="H117" s="11"/>
      <c r="I117" s="11"/>
      <c r="J117" s="11"/>
      <c r="K117" s="15">
        <v>65</v>
      </c>
      <c r="L117" s="11" t="s">
        <v>197</v>
      </c>
      <c r="M117" s="8"/>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8">
        <f t="shared" si="4"/>
        <v>65</v>
      </c>
      <c r="BH117" s="12" t="str" cm="1">
        <f t="array" ref="BH117">_xlfn.TEXTJOIN(" ", TRUE, _xlfn._xlws.FILTER(C117:BF117, MOD(COLUMN(C117:BF117)-COLUMN(BJ117),2)=0))</f>
        <v>INTERESTED IN MATHS</v>
      </c>
      <c r="BI117" s="11"/>
      <c r="BJ117" s="11"/>
      <c r="BK117" s="11"/>
      <c r="BL117" s="11"/>
      <c r="BM117" s="11"/>
      <c r="BN117" s="11"/>
    </row>
    <row r="118" spans="1:66" ht="14.35" customHeight="1" x14ac:dyDescent="0.45">
      <c r="A118" s="32"/>
      <c r="B118" s="14" t="s">
        <v>40</v>
      </c>
      <c r="C118" s="8">
        <v>50</v>
      </c>
      <c r="D118" s="11" t="s">
        <v>104</v>
      </c>
      <c r="E118" s="15">
        <v>65</v>
      </c>
      <c r="F118" s="11" t="s">
        <v>104</v>
      </c>
      <c r="G118" s="8">
        <v>75</v>
      </c>
      <c r="H118" s="11" t="s">
        <v>127</v>
      </c>
      <c r="I118" s="22">
        <v>85</v>
      </c>
      <c r="J118" s="11" t="s">
        <v>222</v>
      </c>
      <c r="K118" s="8">
        <v>75</v>
      </c>
      <c r="L118" s="11" t="s">
        <v>198</v>
      </c>
      <c r="M118" s="17">
        <v>85</v>
      </c>
      <c r="N118" s="11" t="s">
        <v>222</v>
      </c>
      <c r="O118" s="11"/>
      <c r="P118" s="11"/>
      <c r="Q118" s="11"/>
      <c r="R118" s="11"/>
      <c r="S118" s="11"/>
      <c r="T118" s="11"/>
      <c r="U118" s="29">
        <v>80</v>
      </c>
      <c r="V118" s="11" t="s">
        <v>359</v>
      </c>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8">
        <f t="shared" si="4"/>
        <v>73.571428571428569</v>
      </c>
      <c r="BH118" s="12" t="str" cm="1">
        <f t="array" ref="BH118">_xlfn.TEXTJOIN(" ", TRUE, _xlfn._xlws.FILTER(C118:BF118, MOD(COLUMN(C118:BF118)-COLUMN(BJ118),2)=0))</f>
        <v>GOOD IN SHUTTLE GOOD IN SHUTTLE GOOD IN FOOTBALL PLAYING WELL SHUTTLE INTERESTED IN RUNNING PLAYING WELL SHUTTLE INTERESTED IN CRICKET LIKE TO PLAY BATTING</v>
      </c>
      <c r="BI118" s="11"/>
      <c r="BJ118" s="11"/>
      <c r="BK118" s="11"/>
      <c r="BL118" s="11"/>
      <c r="BM118" s="11"/>
      <c r="BN118" s="11"/>
    </row>
    <row r="119" spans="1:66" ht="14.35" customHeight="1" x14ac:dyDescent="0.45">
      <c r="A119" s="32"/>
      <c r="B119" s="14" t="s">
        <v>41</v>
      </c>
      <c r="C119" s="8">
        <v>75</v>
      </c>
      <c r="D119" s="11" t="s">
        <v>103</v>
      </c>
      <c r="E119" s="15">
        <v>65</v>
      </c>
      <c r="F119" s="11" t="s">
        <v>129</v>
      </c>
      <c r="G119" s="8">
        <v>75</v>
      </c>
      <c r="H119" s="11" t="s">
        <v>103</v>
      </c>
      <c r="I119" s="11">
        <v>75</v>
      </c>
      <c r="J119" s="11" t="s">
        <v>223</v>
      </c>
      <c r="K119" s="8"/>
      <c r="L119" s="11"/>
      <c r="M119" s="8">
        <v>75</v>
      </c>
      <c r="N119" s="11" t="s">
        <v>223</v>
      </c>
      <c r="O119" s="11"/>
      <c r="P119" s="11"/>
      <c r="Q119" s="11"/>
      <c r="R119" s="11"/>
      <c r="S119" s="11"/>
      <c r="T119" s="11"/>
      <c r="U119" s="11">
        <v>75</v>
      </c>
      <c r="V119" s="11" t="s">
        <v>343</v>
      </c>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8">
        <f t="shared" si="4"/>
        <v>73.333333333333329</v>
      </c>
      <c r="BH119" s="12" t="str" cm="1">
        <f t="array" ref="BH119">_xlfn.TEXTJOIN(" ", TRUE, _xlfn._xlws.FILTER(C119:BF119, MOD(COLUMN(C119:BF119)-COLUMN(BJ119),2)=0))</f>
        <v>SHOWING INTEREST BUT NEED PRACTICE PERFORMING WELL NEED PRACTISE SHOWING INTEREST BUT NEED PRACTICE ANSWERING WELL ACTIVE PARTICEPATION ANSWERING WELL ACTIVE PARTICEPATION JUST LEARNING BASIC SKILLS</v>
      </c>
      <c r="BI119" s="11"/>
      <c r="BJ119" s="11"/>
      <c r="BK119" s="11"/>
      <c r="BL119" s="11"/>
      <c r="BM119" s="11"/>
      <c r="BN119" s="11"/>
    </row>
    <row r="120" spans="1:66" ht="14.35" customHeight="1" x14ac:dyDescent="0.45">
      <c r="A120" s="32"/>
      <c r="B120" s="14" t="s">
        <v>42</v>
      </c>
      <c r="C120" s="8">
        <v>50</v>
      </c>
      <c r="D120" s="11" t="s">
        <v>90</v>
      </c>
      <c r="E120" s="8">
        <v>50</v>
      </c>
      <c r="F120" s="11" t="s">
        <v>137</v>
      </c>
      <c r="G120" s="15">
        <v>65</v>
      </c>
      <c r="H120" s="11" t="s">
        <v>161</v>
      </c>
      <c r="I120" s="23">
        <v>65</v>
      </c>
      <c r="J120" s="11" t="s">
        <v>228</v>
      </c>
      <c r="K120" s="15">
        <v>65</v>
      </c>
      <c r="L120" s="11" t="s">
        <v>199</v>
      </c>
      <c r="M120" s="8">
        <v>70</v>
      </c>
      <c r="N120" s="11" t="s">
        <v>258</v>
      </c>
      <c r="O120" s="11">
        <v>75</v>
      </c>
      <c r="P120" s="11" t="s">
        <v>283</v>
      </c>
      <c r="Q120" s="11"/>
      <c r="R120" s="11"/>
      <c r="S120" s="11"/>
      <c r="T120" s="11"/>
      <c r="U120" s="29">
        <v>80</v>
      </c>
      <c r="V120" s="11" t="s">
        <v>346</v>
      </c>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8">
        <f t="shared" si="4"/>
        <v>65</v>
      </c>
      <c r="BH120" s="12" t="str" cm="1">
        <f t="array" ref="BH120">_xlfn.TEXTJOIN(" ", TRUE, _xlfn._xlws.FILTER(C120:BF120, MOD(COLUMN(C120:BF120)-COLUMN(BJ120),2)=0))</f>
        <v>GOOD IN DRAWING BUT NEED TO CONCETRATE SIMPLIFYING THE CONTOUR WELL ILLUMINATES THE SHADOWED AREA OF THE OBJECT ACTIVE PARTICEPATION NEED PRACTICE INTERESTED IN PAINTING NEED TO FOCUS ON VISUAL COMPONENTS FOLLOWING VERTICAL&amp;HORIZONTAL LINES GOOD OBSERVATION</v>
      </c>
      <c r="BI120" s="11"/>
      <c r="BJ120" s="11"/>
      <c r="BK120" s="11"/>
      <c r="BL120" s="11"/>
      <c r="BM120" s="11"/>
      <c r="BN120" s="11"/>
    </row>
    <row r="121" spans="1:66" ht="14.35" customHeight="1" x14ac:dyDescent="0.45">
      <c r="A121" s="32"/>
      <c r="B121" s="14" t="s">
        <v>43</v>
      </c>
      <c r="C121" s="8">
        <v>50</v>
      </c>
      <c r="D121" s="11" t="s">
        <v>76</v>
      </c>
      <c r="E121" s="15">
        <v>65</v>
      </c>
      <c r="F121" s="11" t="s">
        <v>111</v>
      </c>
      <c r="G121" s="8">
        <v>50</v>
      </c>
      <c r="H121" s="11" t="s">
        <v>126</v>
      </c>
      <c r="I121" s="11"/>
      <c r="J121" s="11" t="s">
        <v>163</v>
      </c>
      <c r="K121" s="8">
        <v>75</v>
      </c>
      <c r="L121" s="11" t="s">
        <v>200</v>
      </c>
      <c r="M121" s="8">
        <v>50</v>
      </c>
      <c r="N121" s="11" t="s">
        <v>250</v>
      </c>
      <c r="O121" s="11"/>
      <c r="P121" s="11"/>
      <c r="Q121" s="11" t="s">
        <v>82</v>
      </c>
      <c r="R121" s="11"/>
      <c r="S121" s="11">
        <v>25</v>
      </c>
      <c r="T121" s="11" t="s">
        <v>160</v>
      </c>
      <c r="U121" s="27">
        <v>90</v>
      </c>
      <c r="V121" s="11" t="s">
        <v>360</v>
      </c>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8">
        <f t="shared" si="4"/>
        <v>57.857142857142854</v>
      </c>
      <c r="BH121" s="12" t="str" cm="1">
        <f t="array" ref="BH121">_xlfn.TEXTJOIN(" ", TRUE, _xlfn._xlws.FILTER(C121:BF121, MOD(COLUMN(C121:BF121)-COLUMN(BJ121),2)=0))</f>
        <v>AVERAGE PARTICIPATION GREAT FOCUS IN READING,VERY THOUGHT PROVOKING,GOOD INTEREST IN READING GOOD IN READING NEED TO CONCENTRATE CLASS CANCELED INTERESTED IN COMICS BOOKS GOOD IN READING BUT NEED TO FOCUS NEUTRAL PARTICIPATION PREFER TO READ COMIC BOOKS,LIKES TO READ BOOKS AT NIGHT AT BED TIME</v>
      </c>
      <c r="BI121" s="11"/>
      <c r="BJ121" s="11"/>
      <c r="BK121" s="11"/>
      <c r="BL121" s="11"/>
      <c r="BM121" s="11"/>
      <c r="BN121" s="11"/>
    </row>
    <row r="122" spans="1:66" ht="14.35" customHeight="1" x14ac:dyDescent="0.45">
      <c r="A122" s="33"/>
      <c r="B122" s="14" t="s">
        <v>44</v>
      </c>
      <c r="C122" s="8"/>
      <c r="D122" s="11" t="s">
        <v>91</v>
      </c>
      <c r="E122" s="11"/>
      <c r="F122" s="8"/>
      <c r="G122" s="11"/>
      <c r="H122" s="11"/>
      <c r="I122" s="11"/>
      <c r="J122" s="11"/>
      <c r="K122" s="11"/>
      <c r="L122" s="11"/>
      <c r="M122" s="8"/>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8" t="str">
        <f t="shared" si="4"/>
        <v/>
      </c>
      <c r="BH122" s="12" t="str" cm="1">
        <f t="array" ref="BH122">_xlfn.TEXTJOIN(" ", TRUE, _xlfn._xlws.FILTER(C122:BF122, MOD(COLUMN(C122:BF122)-COLUMN(BJ122),2)=0))</f>
        <v>INTRESTED IN WHRITINGS</v>
      </c>
      <c r="BI122" s="11"/>
      <c r="BJ122" s="11"/>
      <c r="BK122" s="11"/>
      <c r="BL122" s="11"/>
      <c r="BM122" s="11"/>
    </row>
    <row r="123" spans="1:66" ht="14.35" customHeight="1" x14ac:dyDescent="0.45">
      <c r="A123" s="31" t="s">
        <v>59</v>
      </c>
      <c r="B123" s="14" t="s">
        <v>39</v>
      </c>
      <c r="C123" s="8"/>
      <c r="D123" s="11"/>
      <c r="E123" s="8"/>
      <c r="F123" s="11"/>
      <c r="G123" s="8"/>
      <c r="H123" s="11"/>
      <c r="I123" s="11"/>
      <c r="J123" s="11"/>
      <c r="K123" s="15">
        <v>65</v>
      </c>
      <c r="L123" s="11" t="s">
        <v>168</v>
      </c>
      <c r="M123" s="8"/>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8">
        <f t="shared" si="4"/>
        <v>65</v>
      </c>
      <c r="BH123" s="12" t="str" cm="1">
        <f t="array" ref="BH123">_xlfn.TEXTJOIN(" ", TRUE, _xlfn._xlws.FILTER(C123:BF123, MOD(COLUMN(C123:BF123)-COLUMN(BJ123),2)=0))</f>
        <v>INTERESTED IN BIOLOGY</v>
      </c>
      <c r="BI123" s="11"/>
      <c r="BJ123" s="11"/>
      <c r="BK123" s="11"/>
      <c r="BL123" s="11"/>
      <c r="BM123" s="11"/>
      <c r="BN123" s="11"/>
    </row>
    <row r="124" spans="1:66" ht="14.35" customHeight="1" x14ac:dyDescent="0.45">
      <c r="A124" s="32"/>
      <c r="B124" s="14" t="s">
        <v>40</v>
      </c>
      <c r="C124" s="8">
        <v>50</v>
      </c>
      <c r="D124" s="11" t="s">
        <v>104</v>
      </c>
      <c r="E124" s="15">
        <v>65</v>
      </c>
      <c r="F124" s="11" t="s">
        <v>104</v>
      </c>
      <c r="G124" s="8">
        <v>75</v>
      </c>
      <c r="H124" s="11" t="s">
        <v>128</v>
      </c>
      <c r="I124" s="22">
        <v>85</v>
      </c>
      <c r="J124" s="11" t="s">
        <v>222</v>
      </c>
      <c r="K124" s="8">
        <v>75</v>
      </c>
      <c r="L124" s="11" t="s">
        <v>183</v>
      </c>
      <c r="M124" s="17">
        <v>85</v>
      </c>
      <c r="N124" s="11" t="s">
        <v>222</v>
      </c>
      <c r="O124" s="11"/>
      <c r="P124" s="11"/>
      <c r="Q124" s="11"/>
      <c r="R124" s="11"/>
      <c r="S124" s="11"/>
      <c r="T124" s="11"/>
      <c r="U124" s="28">
        <v>95</v>
      </c>
      <c r="V124" s="11" t="s">
        <v>374</v>
      </c>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8">
        <f t="shared" si="4"/>
        <v>75.714285714285708</v>
      </c>
      <c r="BH124" s="12" t="str" cm="1">
        <f t="array" ref="BH124">_xlfn.TEXTJOIN(" ", TRUE, _xlfn._xlws.FILTER(C124:BF124, MOD(COLUMN(C124:BF124)-COLUMN(BJ124),2)=0))</f>
        <v>GOOD IN SHUTTLE GOOD IN SHUTTLE GOOD IN KHO KHO PLAYING WELL SHUTTLE INTERESTED IN CRICKET PLAYING WELL SHUTTLE INTERESTED IN THROWBALL,BADMINTON LIKES TO PLAY CRICKET DAILY PLAYSBATTING FOR 1HOUR NEAR HOME</v>
      </c>
      <c r="BI124" s="11"/>
      <c r="BJ124" s="11"/>
      <c r="BK124" s="11"/>
      <c r="BL124" s="11"/>
      <c r="BM124" s="11"/>
      <c r="BN124" s="11"/>
    </row>
    <row r="125" spans="1:66" ht="14.35" customHeight="1" x14ac:dyDescent="0.45">
      <c r="A125" s="32"/>
      <c r="B125" s="14" t="s">
        <v>41</v>
      </c>
      <c r="C125" s="8">
        <v>75</v>
      </c>
      <c r="D125" s="11" t="s">
        <v>103</v>
      </c>
      <c r="E125" s="15">
        <v>65</v>
      </c>
      <c r="F125" s="11" t="s">
        <v>129</v>
      </c>
      <c r="G125" s="8">
        <v>75</v>
      </c>
      <c r="H125" s="11" t="s">
        <v>103</v>
      </c>
      <c r="I125" s="11">
        <v>75</v>
      </c>
      <c r="J125" s="11" t="s">
        <v>223</v>
      </c>
      <c r="K125" s="15">
        <v>65</v>
      </c>
      <c r="L125" s="11" t="s">
        <v>170</v>
      </c>
      <c r="M125" s="8">
        <v>75</v>
      </c>
      <c r="N125" s="11" t="s">
        <v>223</v>
      </c>
      <c r="O125" s="11"/>
      <c r="P125" s="11"/>
      <c r="Q125" s="11"/>
      <c r="R125" s="11"/>
      <c r="S125" s="11"/>
      <c r="T125" s="11"/>
      <c r="U125" s="29">
        <v>80</v>
      </c>
      <c r="V125" s="11" t="s">
        <v>343</v>
      </c>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8">
        <f t="shared" si="4"/>
        <v>72.857142857142861</v>
      </c>
      <c r="BH125" s="12" t="str" cm="1">
        <f t="array" ref="BH125">_xlfn.TEXTJOIN(" ", TRUE, _xlfn._xlws.FILTER(C125:BF125, MOD(COLUMN(C125:BF125)-COLUMN(BJ125),2)=0))</f>
        <v>SHOWING INTEREST BUT NEED PRACTICE PERFORMING WELL NEED PRACTISE SHOWING INTEREST BUT NEED PRACTICE ANSWERING WELL ACTIVE PARTICEPATION INTERESTED IN TYPING ANSWERING WELL ACTIVE PARTICEPATION JUST LEARNING BASIC SKILLS</v>
      </c>
      <c r="BI125" s="11"/>
      <c r="BJ125" s="11"/>
      <c r="BK125" s="11"/>
      <c r="BL125" s="11"/>
      <c r="BM125" s="11"/>
    </row>
    <row r="126" spans="1:66" ht="14.35" customHeight="1" x14ac:dyDescent="0.45">
      <c r="A126" s="32"/>
      <c r="B126" s="14" t="s">
        <v>42</v>
      </c>
      <c r="C126" s="8">
        <v>25</v>
      </c>
      <c r="D126" s="11" t="s">
        <v>81</v>
      </c>
      <c r="E126" s="8">
        <v>50</v>
      </c>
      <c r="F126" s="11" t="s">
        <v>140</v>
      </c>
      <c r="G126" s="8">
        <v>50</v>
      </c>
      <c r="H126" s="11" t="s">
        <v>148</v>
      </c>
      <c r="I126" s="11">
        <v>75</v>
      </c>
      <c r="J126" s="11" t="s">
        <v>139</v>
      </c>
      <c r="K126" s="8">
        <v>75</v>
      </c>
      <c r="L126" s="11" t="s">
        <v>184</v>
      </c>
      <c r="M126" s="8">
        <v>75</v>
      </c>
      <c r="N126" s="11" t="s">
        <v>141</v>
      </c>
      <c r="O126" s="11">
        <v>70</v>
      </c>
      <c r="P126" s="11" t="s">
        <v>291</v>
      </c>
      <c r="Q126" s="11"/>
      <c r="R126" s="11"/>
      <c r="S126" s="11"/>
      <c r="T126" s="11"/>
      <c r="U126" s="29">
        <v>80</v>
      </c>
      <c r="V126" s="11" t="s">
        <v>350</v>
      </c>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8">
        <f t="shared" si="4"/>
        <v>62.5</v>
      </c>
      <c r="BH126" s="12" t="str" cm="1">
        <f t="array" ref="BH126">_xlfn.TEXTJOIN(" ", TRUE, _xlfn._xlws.FILTER(C126:BF126, MOD(COLUMN(C126:BF126)-COLUMN(BJ126),2)=0))</f>
        <v>NEAUTRAL  PARTICIPATION GOOD IN SHADING CAN IMPROVE GOOD OBSERVATION SKILLS EVALUATING THE SHADING WELL INTERESTED IN GOD , ANIME PICTURES DRAWING TRYING TO SIMPLIFY THE FIGURE NEED TO DFRAW VERTICAL LINES FOR BETTER FIGURE SHOWING WILLINGNESS IN DRAWING</v>
      </c>
      <c r="BI126" s="11"/>
      <c r="BJ126" s="11"/>
      <c r="BK126" s="11"/>
      <c r="BL126" s="11"/>
      <c r="BM126" s="11"/>
      <c r="BN126" s="11"/>
    </row>
    <row r="127" spans="1:66" ht="14.35" customHeight="1" x14ac:dyDescent="0.45">
      <c r="A127" s="32"/>
      <c r="B127" s="14" t="s">
        <v>43</v>
      </c>
      <c r="C127" s="8">
        <v>75</v>
      </c>
      <c r="D127" s="11" t="s">
        <v>133</v>
      </c>
      <c r="E127" s="8">
        <v>75</v>
      </c>
      <c r="F127" s="11" t="s">
        <v>114</v>
      </c>
      <c r="G127" s="15">
        <v>65</v>
      </c>
      <c r="H127" s="11" t="s">
        <v>112</v>
      </c>
      <c r="I127" s="11"/>
      <c r="J127" s="11" t="s">
        <v>163</v>
      </c>
      <c r="K127" s="8">
        <v>75</v>
      </c>
      <c r="L127" s="11" t="s">
        <v>185</v>
      </c>
      <c r="M127" s="15">
        <v>65</v>
      </c>
      <c r="N127" s="11" t="s">
        <v>246</v>
      </c>
      <c r="O127" s="11"/>
      <c r="P127" s="11"/>
      <c r="Q127" s="11">
        <v>60</v>
      </c>
      <c r="R127" s="11" t="s">
        <v>297</v>
      </c>
      <c r="S127" s="11">
        <v>70</v>
      </c>
      <c r="T127" s="11" t="s">
        <v>326</v>
      </c>
      <c r="U127" s="28">
        <v>95</v>
      </c>
      <c r="V127" s="11" t="s">
        <v>375</v>
      </c>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8">
        <f t="shared" si="4"/>
        <v>72.5</v>
      </c>
      <c r="BH127" s="12" t="str" cm="1">
        <f t="array" ref="BH127">_xlfn.TEXTJOIN(" ", TRUE, _xlfn._xlws.FILTER(C127:BF127, MOD(COLUMN(C127:BF127)-COLUMN(BJ127),2)=0))</f>
        <v>GOOD IN READING LIKES TO READ MYTHOLOGY STORIES INTERESTED IN MYTHOLOGY,CARTOONS STORIES,WITH GOOD FOCUS READING GOOD INTERSESTIN REAIDNG IN STORIES,ENJOYS WHILE READING WITH FOCUS CLASS CANCELED INTERESTED IN MYTHOLOGY, &amp; CHARTOON BOOKS GOOD IN READING WITH CONCENTRATELY GOOD IN READING BUUT NEED TO FOCUS IN VOCABULARY INTERESTED IN READING, STORY LINE&amp;EXPLANTIION IS VERY CLEAR PREFER COMIC BOOKS&amp;DEVOTIONAL BOOKS ALSO TO RFEAD TO LEARN ABOUT CULTURE</v>
      </c>
      <c r="BI127" s="11"/>
      <c r="BJ127" s="11"/>
      <c r="BK127" s="11"/>
      <c r="BL127" s="11"/>
      <c r="BM127" s="11"/>
      <c r="BN127" s="11"/>
    </row>
    <row r="128" spans="1:66" ht="14.35" customHeight="1" x14ac:dyDescent="0.45">
      <c r="A128" s="33"/>
      <c r="B128" s="14" t="s">
        <v>44</v>
      </c>
      <c r="C128" s="8"/>
      <c r="D128" s="11"/>
      <c r="E128" s="8"/>
      <c r="F128" s="11"/>
      <c r="G128" s="8"/>
      <c r="H128" s="11"/>
      <c r="I128" s="11"/>
      <c r="J128" s="11"/>
      <c r="K128" s="11"/>
      <c r="L128" s="11"/>
      <c r="M128" s="8"/>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8" t="str">
        <f t="shared" si="4"/>
        <v/>
      </c>
      <c r="BH128" s="12" t="str" cm="1">
        <f t="array" ref="BH128">_xlfn.TEXTJOIN(" ", TRUE, _xlfn._xlws.FILTER(C128:BF128, MOD(COLUMN(C128:BF128)-COLUMN(BJ128),2)=0))</f>
        <v/>
      </c>
      <c r="BI128" s="11"/>
      <c r="BJ128" s="11"/>
      <c r="BK128" s="11"/>
      <c r="BL128" s="11"/>
      <c r="BM128" s="11"/>
      <c r="BN128" s="11"/>
    </row>
    <row r="129" spans="1:66" ht="14.35" customHeight="1" x14ac:dyDescent="0.45">
      <c r="A129" s="31" t="s">
        <v>60</v>
      </c>
      <c r="B129" s="14" t="s">
        <v>39</v>
      </c>
      <c r="C129" s="8"/>
      <c r="D129" s="11"/>
      <c r="E129" s="8"/>
      <c r="F129" s="11"/>
      <c r="G129" s="8"/>
      <c r="H129" s="11"/>
      <c r="I129" s="11"/>
      <c r="J129" s="11"/>
      <c r="K129" s="15">
        <v>65</v>
      </c>
      <c r="L129" s="11" t="s">
        <v>179</v>
      </c>
      <c r="M129" s="8"/>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8">
        <f t="shared" si="4"/>
        <v>65</v>
      </c>
      <c r="BH129" s="12" t="str" cm="1">
        <f t="array" ref="BH129">_xlfn.TEXTJOIN(" ", TRUE, _xlfn._xlws.FILTER(C129:BF129, MOD(COLUMN(C129:BF129)-COLUMN(BJ129),2)=0))</f>
        <v>INTERESTED IN MATHS, HINDI</v>
      </c>
      <c r="BI129" s="11"/>
      <c r="BJ129" s="11"/>
      <c r="BK129" s="11"/>
      <c r="BL129" s="11"/>
      <c r="BM129" s="11"/>
      <c r="BN129" s="11"/>
    </row>
    <row r="130" spans="1:66" ht="14.35" customHeight="1" x14ac:dyDescent="0.45">
      <c r="A130" s="32"/>
      <c r="B130" s="14" t="s">
        <v>40</v>
      </c>
      <c r="C130" s="8">
        <v>50</v>
      </c>
      <c r="D130" s="11" t="s">
        <v>104</v>
      </c>
      <c r="E130" s="15">
        <v>65</v>
      </c>
      <c r="F130" s="11" t="s">
        <v>104</v>
      </c>
      <c r="G130" s="8">
        <v>75</v>
      </c>
      <c r="H130" s="11" t="s">
        <v>128</v>
      </c>
      <c r="I130" s="22">
        <v>85</v>
      </c>
      <c r="J130" s="11" t="s">
        <v>222</v>
      </c>
      <c r="K130" s="8">
        <v>75</v>
      </c>
      <c r="L130" s="11" t="s">
        <v>176</v>
      </c>
      <c r="M130" s="17">
        <v>85</v>
      </c>
      <c r="N130" s="11" t="s">
        <v>222</v>
      </c>
      <c r="O130" s="11"/>
      <c r="P130" s="11"/>
      <c r="Q130" s="11"/>
      <c r="R130" s="11"/>
      <c r="S130" s="11"/>
      <c r="T130" s="11"/>
      <c r="U130" s="26">
        <v>85</v>
      </c>
      <c r="V130" s="11" t="s">
        <v>390</v>
      </c>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8">
        <f t="shared" si="4"/>
        <v>74.285714285714292</v>
      </c>
      <c r="BH130" s="12" t="str" cm="1">
        <f t="array" ref="BH130">_xlfn.TEXTJOIN(" ", TRUE, _xlfn._xlws.FILTER(C130:BF130, MOD(COLUMN(C130:BF130)-COLUMN(BJ130),2)=0))</f>
        <v>GOOD IN SHUTTLE GOOD IN SHUTTLE GOOD IN KHO KHO PLAYING WELL SHUTTLE INTERESTED IN KHABADI PLAYING WELL SHUTTLE INTERESTED IN KHO KHO,KHABADI</v>
      </c>
      <c r="BI130" s="11"/>
      <c r="BJ130" s="11"/>
      <c r="BK130" s="11"/>
      <c r="BL130" s="11"/>
      <c r="BM130" s="11"/>
      <c r="BN130" s="11"/>
    </row>
    <row r="131" spans="1:66" ht="14.35" customHeight="1" x14ac:dyDescent="0.45">
      <c r="A131" s="32"/>
      <c r="B131" s="14" t="s">
        <v>41</v>
      </c>
      <c r="C131" s="8">
        <v>75</v>
      </c>
      <c r="D131" s="11" t="s">
        <v>103</v>
      </c>
      <c r="E131" s="15">
        <v>65</v>
      </c>
      <c r="F131" s="11" t="s">
        <v>129</v>
      </c>
      <c r="G131" s="8">
        <v>75</v>
      </c>
      <c r="H131" s="11" t="s">
        <v>103</v>
      </c>
      <c r="I131" s="11">
        <v>75</v>
      </c>
      <c r="J131" s="11" t="s">
        <v>223</v>
      </c>
      <c r="K131" s="15">
        <v>65</v>
      </c>
      <c r="L131" s="11" t="s">
        <v>170</v>
      </c>
      <c r="M131" s="8">
        <v>75</v>
      </c>
      <c r="N131" s="11" t="s">
        <v>223</v>
      </c>
      <c r="O131" s="11"/>
      <c r="P131" s="11"/>
      <c r="Q131" s="11"/>
      <c r="R131" s="11"/>
      <c r="S131" s="11"/>
      <c r="T131" s="11"/>
      <c r="U131" s="11">
        <v>75</v>
      </c>
      <c r="V131" s="11" t="s">
        <v>343</v>
      </c>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8">
        <f t="shared" si="4"/>
        <v>72.142857142857139</v>
      </c>
      <c r="BH131" s="12" t="str" cm="1">
        <f t="array" ref="BH131">_xlfn.TEXTJOIN(" ", TRUE, _xlfn._xlws.FILTER(C131:BF131, MOD(COLUMN(C131:BF131)-COLUMN(BJ131),2)=0))</f>
        <v>SHOWING INTEREST BUT NEED PRACTICE PERFORMING WELL NEED PRACTISE SHOWING INTEREST BUT NEED PRACTICE ANSWERING WELL ACTIVE PARTICEPATION INTERESTED IN TYPING ANSWERING WELL ACTIVE PARTICEPATION JUST LEARNING BASIC SKILLS</v>
      </c>
      <c r="BI131" s="11"/>
      <c r="BJ131" s="11"/>
      <c r="BK131" s="11"/>
      <c r="BL131" s="11"/>
      <c r="BM131" s="11"/>
      <c r="BN131" s="11"/>
    </row>
    <row r="132" spans="1:66" ht="14.35" customHeight="1" x14ac:dyDescent="0.45">
      <c r="A132" s="32"/>
      <c r="B132" s="14" t="s">
        <v>42</v>
      </c>
      <c r="C132" s="8">
        <v>50</v>
      </c>
      <c r="D132" s="11" t="s">
        <v>100</v>
      </c>
      <c r="E132" s="8">
        <v>50</v>
      </c>
      <c r="F132" s="11" t="s">
        <v>149</v>
      </c>
      <c r="G132" s="15">
        <v>65</v>
      </c>
      <c r="H132" s="11" t="s">
        <v>156</v>
      </c>
      <c r="I132" s="23">
        <v>65</v>
      </c>
      <c r="J132" s="11" t="s">
        <v>228</v>
      </c>
      <c r="K132" s="8"/>
      <c r="L132" s="11"/>
      <c r="M132" s="8">
        <v>75</v>
      </c>
      <c r="N132" s="11" t="s">
        <v>142</v>
      </c>
      <c r="O132" s="11">
        <v>75</v>
      </c>
      <c r="P132" s="11" t="s">
        <v>269</v>
      </c>
      <c r="Q132" s="11"/>
      <c r="R132" s="11"/>
      <c r="S132" s="11"/>
      <c r="T132" s="11"/>
      <c r="U132" s="29">
        <v>80</v>
      </c>
      <c r="V132" s="11" t="s">
        <v>350</v>
      </c>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8">
        <f t="shared" si="4"/>
        <v>65.714285714285708</v>
      </c>
      <c r="BH132" s="12" t="str" cm="1">
        <f t="array" ref="BH132">_xlfn.TEXTJOIN(" ", TRUE, _xlfn._xlws.FILTER(C132:BF132, MOD(COLUMN(C132:BF132)-COLUMN(BJ132),2)=0))</f>
        <v>AVERAGE PARTCIPATION NEED TO REFINE THE FIGURE BUILDING UP VALUES AND CREATE SMOOTH SOFT EDGES ACTIVE PARTICEPATION NEED PRACTICE UTILIZING THE LINES NEATLY FOLLOWING THE MEASUREMENT CORRECTLY SHOWING WILLINGNESS IN DRAWING</v>
      </c>
      <c r="BI132" s="11"/>
      <c r="BJ132" s="11"/>
      <c r="BK132" s="11"/>
      <c r="BL132" s="11"/>
      <c r="BM132" s="11"/>
      <c r="BN132" s="11"/>
    </row>
    <row r="133" spans="1:66" ht="14.35" customHeight="1" x14ac:dyDescent="0.45">
      <c r="A133" s="32"/>
      <c r="B133" s="14" t="s">
        <v>43</v>
      </c>
      <c r="C133" s="8">
        <v>50</v>
      </c>
      <c r="D133" s="11" t="s">
        <v>76</v>
      </c>
      <c r="E133" s="8">
        <v>50</v>
      </c>
      <c r="F133" s="11" t="s">
        <v>106</v>
      </c>
      <c r="G133" s="8">
        <v>25</v>
      </c>
      <c r="H133" s="11" t="s">
        <v>121</v>
      </c>
      <c r="I133" s="11"/>
      <c r="J133" s="11" t="s">
        <v>163</v>
      </c>
      <c r="K133" s="8"/>
      <c r="L133" s="11"/>
      <c r="M133" s="8">
        <v>25</v>
      </c>
      <c r="N133" s="11" t="s">
        <v>254</v>
      </c>
      <c r="O133" s="11"/>
      <c r="P133" s="11"/>
      <c r="Q133" s="11">
        <v>55</v>
      </c>
      <c r="R133" s="11" t="s">
        <v>308</v>
      </c>
      <c r="S133" s="11"/>
      <c r="T133" s="11"/>
      <c r="U133" s="29">
        <v>80</v>
      </c>
      <c r="V133" s="11" t="s">
        <v>391</v>
      </c>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8">
        <f t="shared" si="4"/>
        <v>47.5</v>
      </c>
      <c r="BH133" s="12" t="str" cm="1">
        <f t="array" ref="BH133">_xlfn.TEXTJOIN(" ", TRUE, _xlfn._xlws.FILTER(C133:BF133, MOD(COLUMN(C133:BF133)-COLUMN(BJ133),2)=0))</f>
        <v>AVERAGE PARTICIPATION DOING GOOD BUT NEED TO CONCENTRATE NEAUTRAL PARTCIPATION CLASS CANCELED NEUTRAL PARTCIPATION INTERESTED IN READING(HORROR)STORIES  PREFER DEVOTIONAL BOOKS IN TELUGU TO READ</v>
      </c>
      <c r="BI133" s="11"/>
      <c r="BJ133" s="11"/>
      <c r="BK133" s="11"/>
      <c r="BL133" s="11"/>
      <c r="BM133" s="11"/>
      <c r="BN133" s="11"/>
    </row>
    <row r="134" spans="1:66" ht="14.35" customHeight="1" x14ac:dyDescent="0.45">
      <c r="A134" s="33"/>
      <c r="B134" s="14" t="s">
        <v>44</v>
      </c>
      <c r="C134" s="8"/>
      <c r="D134" s="11"/>
      <c r="E134" s="8"/>
      <c r="F134" s="11"/>
      <c r="G134" s="8"/>
      <c r="H134" s="11"/>
      <c r="I134" s="11"/>
      <c r="J134" s="11"/>
      <c r="K134" s="11"/>
      <c r="L134" s="11"/>
      <c r="M134" s="8"/>
      <c r="N134" s="11"/>
      <c r="O134" s="11"/>
      <c r="P134" s="11"/>
      <c r="Q134" s="11"/>
      <c r="R134" s="11"/>
      <c r="S134" s="11" t="s">
        <v>82</v>
      </c>
      <c r="T134" s="11" t="s">
        <v>82</v>
      </c>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8" t="str">
        <f t="shared" si="4"/>
        <v/>
      </c>
      <c r="BH134" s="12" t="str" cm="1">
        <f t="array" ref="BH134">_xlfn.TEXTJOIN(" ", TRUE, _xlfn._xlws.FILTER(C134:BF134, MOD(COLUMN(C134:BF134)-COLUMN(BJ134),2)=0))</f>
        <v>AB</v>
      </c>
      <c r="BI134" s="11"/>
      <c r="BJ134" s="11"/>
      <c r="BK134" s="11"/>
      <c r="BL134" s="11"/>
      <c r="BM134" s="11"/>
      <c r="BN134" s="11"/>
    </row>
    <row r="135" spans="1:66" ht="14.35" customHeight="1" x14ac:dyDescent="0.45">
      <c r="A135" s="31" t="s">
        <v>61</v>
      </c>
      <c r="B135" s="14" t="s">
        <v>39</v>
      </c>
      <c r="C135" s="8"/>
      <c r="D135" s="11"/>
      <c r="E135" s="8"/>
      <c r="F135" s="11"/>
      <c r="G135" s="8"/>
      <c r="H135" s="11"/>
      <c r="I135" s="11"/>
      <c r="J135" s="11"/>
      <c r="K135" s="15">
        <v>65</v>
      </c>
      <c r="L135" s="11" t="s">
        <v>168</v>
      </c>
      <c r="M135" s="8"/>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8">
        <f t="shared" si="4"/>
        <v>65</v>
      </c>
      <c r="BH135" s="12" t="str" cm="1">
        <f t="array" ref="BH135">_xlfn.TEXTJOIN(" ", TRUE, _xlfn._xlws.FILTER(C135:BF135, MOD(COLUMN(C135:BF135)-COLUMN(BJ135),2)=0))</f>
        <v>INTERESTED IN BIOLOGY</v>
      </c>
      <c r="BI135" s="11"/>
      <c r="BJ135" s="11"/>
      <c r="BK135" s="11"/>
      <c r="BL135" s="11"/>
      <c r="BM135" s="11"/>
      <c r="BN135" s="11"/>
    </row>
    <row r="136" spans="1:66" ht="14.35" customHeight="1" x14ac:dyDescent="0.45">
      <c r="A136" s="32"/>
      <c r="B136" s="14" t="s">
        <v>40</v>
      </c>
      <c r="C136" s="8">
        <v>50</v>
      </c>
      <c r="D136" s="11" t="s">
        <v>104</v>
      </c>
      <c r="E136" s="15">
        <v>65</v>
      </c>
      <c r="F136" s="11" t="s">
        <v>104</v>
      </c>
      <c r="G136" s="8">
        <v>75</v>
      </c>
      <c r="H136" s="11" t="s">
        <v>128</v>
      </c>
      <c r="I136" s="22">
        <v>85</v>
      </c>
      <c r="J136" s="11" t="s">
        <v>222</v>
      </c>
      <c r="K136" s="8">
        <v>75</v>
      </c>
      <c r="L136" s="11" t="s">
        <v>176</v>
      </c>
      <c r="M136" s="17">
        <v>85</v>
      </c>
      <c r="N136" s="11" t="s">
        <v>222</v>
      </c>
      <c r="O136" s="11"/>
      <c r="P136" s="11"/>
      <c r="Q136" s="11"/>
      <c r="R136" s="11"/>
      <c r="S136" s="11"/>
      <c r="T136" s="11"/>
      <c r="U136" s="30">
        <v>100</v>
      </c>
      <c r="V136" s="11" t="s">
        <v>376</v>
      </c>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8">
        <f t="shared" si="4"/>
        <v>76.428571428571431</v>
      </c>
      <c r="BH136" s="12" t="str" cm="1">
        <f t="array" ref="BH136">_xlfn.TEXTJOIN(" ", TRUE, _xlfn._xlws.FILTER(C136:BF136, MOD(COLUMN(C136:BF136)-COLUMN(BJ136),2)=0))</f>
        <v>GOOD IN SHUTTLE GOOD IN SHUTTLE GOOD IN KHO KHO PLAYING WELL SHUTTLE INTERESTED IN KHABADI PLAYING WELL SHUTTLE INTERESTED IN KHABADI,KHOKHO,THROWBALL&amp;PARTICIPATED IN 100MTS&amp;200MTS RUNNING RACE WON 1SR PRIZE</v>
      </c>
      <c r="BI136" s="11"/>
      <c r="BJ136" s="11"/>
      <c r="BK136" s="11"/>
      <c r="BL136" s="11"/>
      <c r="BM136" s="11"/>
      <c r="BN136" s="11"/>
    </row>
    <row r="137" spans="1:66" ht="14.35" customHeight="1" x14ac:dyDescent="0.45">
      <c r="A137" s="32"/>
      <c r="B137" s="14" t="s">
        <v>41</v>
      </c>
      <c r="C137" s="8">
        <v>75</v>
      </c>
      <c r="D137" s="11" t="s">
        <v>103</v>
      </c>
      <c r="E137" s="15">
        <v>65</v>
      </c>
      <c r="F137" s="11" t="s">
        <v>129</v>
      </c>
      <c r="G137" s="8">
        <v>75</v>
      </c>
      <c r="H137" s="11" t="s">
        <v>103</v>
      </c>
      <c r="I137" s="11">
        <v>75</v>
      </c>
      <c r="J137" s="11" t="s">
        <v>223</v>
      </c>
      <c r="K137" s="8"/>
      <c r="L137" s="11"/>
      <c r="M137" s="8">
        <v>75</v>
      </c>
      <c r="N137" s="11" t="s">
        <v>223</v>
      </c>
      <c r="O137" s="11"/>
      <c r="P137" s="11"/>
      <c r="Q137" s="11"/>
      <c r="R137" s="11"/>
      <c r="S137" s="11"/>
      <c r="T137" s="11"/>
      <c r="U137" s="29">
        <v>80</v>
      </c>
      <c r="V137" s="11" t="s">
        <v>343</v>
      </c>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8">
        <f t="shared" si="4"/>
        <v>74.166666666666671</v>
      </c>
      <c r="BH137" s="12" t="str" cm="1">
        <f t="array" ref="BH137">_xlfn.TEXTJOIN(" ", TRUE, _xlfn._xlws.FILTER(C137:BF137, MOD(COLUMN(C137:BF137)-COLUMN(BJ137),2)=0))</f>
        <v>SHOWING INTEREST BUT NEED PRACTICE PERFORMING WELL NEED PRACTISE SHOWING INTEREST BUT NEED PRACTICE ANSWERING WELL ACTIVE PARTICEPATION ANSWERING WELL ACTIVE PARTICEPATION JUST LEARNING BASIC SKILLS</v>
      </c>
      <c r="BI137" s="11"/>
      <c r="BJ137" s="11"/>
      <c r="BK137" s="11"/>
      <c r="BL137" s="11"/>
      <c r="BM137" s="11"/>
      <c r="BN137" s="11"/>
    </row>
    <row r="138" spans="1:66" ht="14.35" customHeight="1" x14ac:dyDescent="0.45">
      <c r="A138" s="32"/>
      <c r="B138" s="14" t="s">
        <v>42</v>
      </c>
      <c r="C138" s="8">
        <v>50</v>
      </c>
      <c r="D138" s="11" t="s">
        <v>100</v>
      </c>
      <c r="E138" s="8">
        <v>50</v>
      </c>
      <c r="F138" s="11" t="s">
        <v>154</v>
      </c>
      <c r="G138" s="8"/>
      <c r="H138" s="11" t="s">
        <v>83</v>
      </c>
      <c r="I138" s="8">
        <v>50</v>
      </c>
      <c r="J138" s="11" t="s">
        <v>236</v>
      </c>
      <c r="K138" s="8">
        <v>75</v>
      </c>
      <c r="L138" s="11" t="s">
        <v>193</v>
      </c>
      <c r="M138" s="8">
        <v>70</v>
      </c>
      <c r="N138" s="11" t="s">
        <v>264</v>
      </c>
      <c r="O138" s="11">
        <v>65</v>
      </c>
      <c r="P138" s="11" t="s">
        <v>149</v>
      </c>
      <c r="Q138" s="11"/>
      <c r="R138" s="11"/>
      <c r="S138" s="11"/>
      <c r="T138" s="11"/>
      <c r="U138" s="29">
        <v>80</v>
      </c>
      <c r="V138" s="11" t="s">
        <v>350</v>
      </c>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8">
        <f t="shared" si="4"/>
        <v>62.857142857142854</v>
      </c>
      <c r="BH138" s="12" t="str" cm="1">
        <f t="array" ref="BH138">_xlfn.TEXTJOIN(" ", TRUE, _xlfn._xlws.FILTER(C138:BF138, MOD(COLUMN(C138:BF138)-COLUMN(BJ138),2)=0))</f>
        <v>AVERAGE PARTCIPATION UTILIZING LINES AND TONES OF THE SURFACE TO CREATE THE IMAGE ABSENT NEED TO PRACTICE AVERAGE PARTICEPATION INTERESTED IN ANIME PICTURES DRAWING BUILDING GRADUAL TONAL TRASITION NEED TO REFINE THE FIGURE SHOWING WILLINGNESS IN DRAWING</v>
      </c>
      <c r="BI138" s="11"/>
      <c r="BJ138" s="11"/>
      <c r="BK138" s="11"/>
      <c r="BL138" s="11"/>
      <c r="BM138" s="11"/>
      <c r="BN138" s="11"/>
    </row>
    <row r="139" spans="1:66" ht="14.35" customHeight="1" x14ac:dyDescent="0.45">
      <c r="A139" s="32"/>
      <c r="B139" s="14" t="s">
        <v>43</v>
      </c>
      <c r="C139" s="8">
        <v>50</v>
      </c>
      <c r="D139" s="11" t="s">
        <v>75</v>
      </c>
      <c r="E139" s="8">
        <v>50</v>
      </c>
      <c r="F139" s="11" t="s">
        <v>118</v>
      </c>
      <c r="G139" s="8">
        <v>50</v>
      </c>
      <c r="H139" s="11" t="s">
        <v>106</v>
      </c>
      <c r="I139" s="11"/>
      <c r="J139" s="11" t="s">
        <v>163</v>
      </c>
      <c r="K139" s="15">
        <v>65</v>
      </c>
      <c r="L139" s="11" t="s">
        <v>178</v>
      </c>
      <c r="M139" s="8">
        <v>50</v>
      </c>
      <c r="N139" s="11" t="s">
        <v>251</v>
      </c>
      <c r="O139" s="11"/>
      <c r="P139" s="11"/>
      <c r="Q139" s="11">
        <v>55</v>
      </c>
      <c r="R139" s="11" t="s">
        <v>304</v>
      </c>
      <c r="S139" s="11"/>
      <c r="T139" s="11"/>
      <c r="U139" s="26">
        <v>85</v>
      </c>
      <c r="V139" s="11" t="s">
        <v>377</v>
      </c>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8">
        <f t="shared" si="4"/>
        <v>57.857142857142854</v>
      </c>
      <c r="BH139" s="12" t="str" cm="1">
        <f t="array" ref="BH139">_xlfn.TEXTJOIN(" ", TRUE, _xlfn._xlws.FILTER(C139:BF139, MOD(COLUMN(C139:BF139)-COLUMN(BJ139),2)=0))</f>
        <v>JUST PARTICIPATION AVERAGE PERFORMANCE DOING GOOD BUT NEED TO CONCENTRATE CLASS CANCELED INTERESTED IN STORY BOOKS GOOD IN CONCENTRATION BUT NEED TO FOCUS INTERESTED IN NEWPAPER READING, CAN PERFORM WELL                                                                                                                                                               PREFER TO READ TELUGU STORY BOOKS</v>
      </c>
      <c r="BI139" s="11"/>
      <c r="BJ139" s="11"/>
      <c r="BK139" s="11"/>
      <c r="BL139" s="11"/>
      <c r="BM139" s="11"/>
      <c r="BN139" s="11"/>
    </row>
    <row r="140" spans="1:66" ht="14.35" customHeight="1" x14ac:dyDescent="0.45">
      <c r="A140" s="33"/>
      <c r="B140" s="14" t="s">
        <v>44</v>
      </c>
      <c r="C140" s="8"/>
      <c r="D140" s="11"/>
      <c r="E140" s="8"/>
      <c r="F140" s="11"/>
      <c r="G140" s="8"/>
      <c r="H140" s="11"/>
      <c r="I140" s="11"/>
      <c r="J140" s="11"/>
      <c r="K140" s="11"/>
      <c r="L140" s="11"/>
      <c r="M140" s="8"/>
      <c r="N140" s="11"/>
      <c r="O140" s="11"/>
      <c r="P140" s="11"/>
      <c r="Q140" s="11"/>
      <c r="R140" s="11"/>
      <c r="S140" s="11">
        <v>55</v>
      </c>
      <c r="T140" s="11" t="s">
        <v>327</v>
      </c>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8">
        <f t="shared" si="4"/>
        <v>55</v>
      </c>
      <c r="BH140" s="12" t="str" cm="1">
        <f t="array" ref="BH140">_xlfn.TEXTJOIN(" ", TRUE, _xlfn._xlws.FILTER(C140:BF140, MOD(COLUMN(C140:BF140)-COLUMN(BJ140),2)=0))</f>
        <v>INTERESTED IN TELUGU POERTY,NEED TO IMPROVE EXPLANATION</v>
      </c>
      <c r="BI140" s="11"/>
      <c r="BJ140" s="11"/>
      <c r="BK140" s="11"/>
      <c r="BL140" s="11"/>
      <c r="BM140" s="11"/>
      <c r="BN140" s="11"/>
    </row>
    <row r="141" spans="1:66" ht="14.35" customHeight="1" x14ac:dyDescent="0.45">
      <c r="A141" s="31" t="s">
        <v>62</v>
      </c>
      <c r="B141" s="14" t="s">
        <v>39</v>
      </c>
      <c r="C141" s="8"/>
      <c r="D141" s="11"/>
      <c r="E141" s="8"/>
      <c r="F141" s="11"/>
      <c r="G141" s="8"/>
      <c r="H141" s="11"/>
      <c r="I141" s="11"/>
      <c r="J141" s="11"/>
      <c r="K141" s="15">
        <v>65</v>
      </c>
      <c r="L141" s="11" t="s">
        <v>186</v>
      </c>
      <c r="M141" s="8"/>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8">
        <f t="shared" si="4"/>
        <v>65</v>
      </c>
      <c r="BH141" s="12" t="str" cm="1">
        <f t="array" ref="BH141">_xlfn.TEXTJOIN(" ", TRUE, _xlfn._xlws.FILTER(C141:BF141, MOD(COLUMN(C141:BF141)-COLUMN(BJ141),2)=0))</f>
        <v>INTERESTED IN TELUGU, BIOLOGY</v>
      </c>
      <c r="BI141" s="11"/>
      <c r="BJ141" s="11"/>
      <c r="BK141" s="11"/>
      <c r="BL141" s="11"/>
      <c r="BM141" s="11"/>
      <c r="BN141" s="11"/>
    </row>
    <row r="142" spans="1:66" ht="14.35" customHeight="1" x14ac:dyDescent="0.45">
      <c r="A142" s="32"/>
      <c r="B142" s="14" t="s">
        <v>40</v>
      </c>
      <c r="C142" s="8">
        <v>50</v>
      </c>
      <c r="D142" s="11" t="s">
        <v>104</v>
      </c>
      <c r="E142" s="15">
        <v>65</v>
      </c>
      <c r="F142" s="11" t="s">
        <v>104</v>
      </c>
      <c r="G142" s="8">
        <v>75</v>
      </c>
      <c r="H142" s="11" t="s">
        <v>128</v>
      </c>
      <c r="I142" s="22">
        <v>85</v>
      </c>
      <c r="J142" s="11" t="s">
        <v>222</v>
      </c>
      <c r="K142" s="8">
        <v>75</v>
      </c>
      <c r="L142" s="11" t="s">
        <v>187</v>
      </c>
      <c r="M142" s="17">
        <v>85</v>
      </c>
      <c r="N142" s="11" t="s">
        <v>222</v>
      </c>
      <c r="O142" s="11"/>
      <c r="P142" s="11"/>
      <c r="Q142" s="11"/>
      <c r="R142" s="11"/>
      <c r="S142" s="11"/>
      <c r="T142" s="11"/>
      <c r="U142" s="26">
        <v>85</v>
      </c>
      <c r="V142" s="11" t="s">
        <v>378</v>
      </c>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8">
        <f t="shared" si="4"/>
        <v>74.285714285714292</v>
      </c>
      <c r="BH142" s="12" t="str" cm="1">
        <f t="array" ref="BH142">_xlfn.TEXTJOIN(" ", TRUE, _xlfn._xlws.FILTER(C142:BF142, MOD(COLUMN(C142:BF142)-COLUMN(BJ142),2)=0))</f>
        <v>GOOD IN SHUTTLE GOOD IN SHUTTLE GOOD IN KHO KHO PLAYING WELL SHUTTLE INTERESTED IN KHO-KHO &amp; KHABADI PLAYING WELL SHUTTLE INTERESTED IN THROWBALL,KHOKHO,KHABADI</v>
      </c>
      <c r="BI142" s="11"/>
      <c r="BJ142" s="11"/>
      <c r="BK142" s="11"/>
      <c r="BL142" s="11"/>
      <c r="BM142" s="11"/>
      <c r="BN142" s="11"/>
    </row>
    <row r="143" spans="1:66" ht="14.35" customHeight="1" x14ac:dyDescent="0.45">
      <c r="A143" s="32"/>
      <c r="B143" s="14" t="s">
        <v>41</v>
      </c>
      <c r="C143" s="8">
        <v>75</v>
      </c>
      <c r="D143" s="11" t="s">
        <v>103</v>
      </c>
      <c r="E143" s="15">
        <v>65</v>
      </c>
      <c r="F143" s="11" t="s">
        <v>129</v>
      </c>
      <c r="G143" s="8">
        <v>75</v>
      </c>
      <c r="H143" s="11" t="s">
        <v>103</v>
      </c>
      <c r="I143" s="11">
        <v>75</v>
      </c>
      <c r="J143" s="11" t="s">
        <v>223</v>
      </c>
      <c r="K143" s="15">
        <v>65</v>
      </c>
      <c r="L143" s="11" t="s">
        <v>170</v>
      </c>
      <c r="M143" s="8">
        <v>75</v>
      </c>
      <c r="N143" s="11" t="s">
        <v>223</v>
      </c>
      <c r="O143" s="11"/>
      <c r="P143" s="11"/>
      <c r="Q143" s="11"/>
      <c r="R143" s="11"/>
      <c r="S143" s="11"/>
      <c r="T143" s="11"/>
      <c r="U143" s="29">
        <v>80</v>
      </c>
      <c r="V143" s="11" t="s">
        <v>343</v>
      </c>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8">
        <f t="shared" si="4"/>
        <v>72.857142857142861</v>
      </c>
      <c r="BH143" s="12" t="str" cm="1">
        <f t="array" ref="BH143">_xlfn.TEXTJOIN(" ", TRUE, _xlfn._xlws.FILTER(C143:BF143, MOD(COLUMN(C143:BF143)-COLUMN(BJ143),2)=0))</f>
        <v>SHOWING INTEREST BUT NEED PRACTICE PERFORMING WELL NEED PRACTISE SHOWING INTEREST BUT NEED PRACTICE ANSWERING WELL ACTIVE PARTICEPATION INTERESTED IN TYPING ANSWERING WELL ACTIVE PARTICEPATION JUST LEARNING BASIC SKILLS</v>
      </c>
      <c r="BI143" s="11"/>
      <c r="BJ143" s="11"/>
      <c r="BK143" s="11"/>
      <c r="BL143" s="11"/>
      <c r="BM143" s="11"/>
      <c r="BN143" s="11"/>
    </row>
    <row r="144" spans="1:66" ht="14.35" customHeight="1" x14ac:dyDescent="0.45">
      <c r="A144" s="32"/>
      <c r="B144" s="14" t="s">
        <v>42</v>
      </c>
      <c r="C144" s="8">
        <v>25</v>
      </c>
      <c r="D144" s="11" t="s">
        <v>86</v>
      </c>
      <c r="E144" s="8">
        <v>50</v>
      </c>
      <c r="F144" s="11" t="s">
        <v>162</v>
      </c>
      <c r="G144" s="15">
        <v>65</v>
      </c>
      <c r="H144" s="11" t="s">
        <v>137</v>
      </c>
      <c r="I144" s="8">
        <v>50</v>
      </c>
      <c r="J144" s="11" t="s">
        <v>236</v>
      </c>
      <c r="K144" s="8"/>
      <c r="L144" s="11"/>
      <c r="M144" s="8">
        <v>75</v>
      </c>
      <c r="N144" s="11" t="s">
        <v>263</v>
      </c>
      <c r="O144" s="11">
        <v>70</v>
      </c>
      <c r="P144" s="11" t="s">
        <v>264</v>
      </c>
      <c r="Q144" s="11"/>
      <c r="R144" s="11"/>
      <c r="S144" s="11"/>
      <c r="T144" s="11"/>
      <c r="U144" s="29">
        <v>80</v>
      </c>
      <c r="V144" s="11" t="s">
        <v>350</v>
      </c>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8">
        <f t="shared" si="4"/>
        <v>59.285714285714285</v>
      </c>
      <c r="BH144" s="12" t="str" cm="1">
        <f t="array" ref="BH144">_xlfn.TEXTJOIN(" ", TRUE, _xlfn._xlws.FILTER(C144:BF144, MOD(COLUMN(C144:BF144)-COLUMN(BJ144),2)=0))</f>
        <v>JUST PARTCIPATING TRYING TO SIMPLFY THE DRAWING SIMPLIFYING THE CONTOUR WELL NEED TO PRACTICE AVERAGE PARTICEPATION DEPICTING THE RANGE OF THE VALUE OF THE FIGURE BUILDING GRADUAL TONAL TRASITION SHOWING WILLINGNESS IN DRAWING</v>
      </c>
      <c r="BI144" s="11"/>
      <c r="BJ144" s="11"/>
      <c r="BK144" s="11"/>
      <c r="BL144" s="11"/>
      <c r="BM144" s="11"/>
      <c r="BN144" s="11"/>
    </row>
    <row r="145" spans="1:66" ht="14.35" customHeight="1" x14ac:dyDescent="0.45">
      <c r="A145" s="32"/>
      <c r="B145" s="14" t="s">
        <v>43</v>
      </c>
      <c r="C145" s="15">
        <v>65</v>
      </c>
      <c r="D145" s="11" t="s">
        <v>74</v>
      </c>
      <c r="E145" s="8">
        <v>50</v>
      </c>
      <c r="F145" s="11" t="s">
        <v>118</v>
      </c>
      <c r="G145" s="8">
        <v>25</v>
      </c>
      <c r="H145" s="11" t="s">
        <v>121</v>
      </c>
      <c r="I145" s="11"/>
      <c r="J145" s="11" t="s">
        <v>163</v>
      </c>
      <c r="K145" s="8">
        <v>75</v>
      </c>
      <c r="L145" s="11" t="s">
        <v>188</v>
      </c>
      <c r="M145" s="15">
        <v>65</v>
      </c>
      <c r="N145" s="11" t="s">
        <v>246</v>
      </c>
      <c r="O145" s="11"/>
      <c r="P145" s="11"/>
      <c r="Q145" s="11">
        <v>60</v>
      </c>
      <c r="R145" s="11" t="s">
        <v>297</v>
      </c>
      <c r="S145" s="11">
        <v>40</v>
      </c>
      <c r="T145" s="11" t="s">
        <v>328</v>
      </c>
      <c r="U145" s="26">
        <v>85</v>
      </c>
      <c r="V145" s="11" t="s">
        <v>377</v>
      </c>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8">
        <f t="shared" si="4"/>
        <v>58.125</v>
      </c>
      <c r="BH145" s="12" t="str" cm="1">
        <f t="array" ref="BH145">_xlfn.TEXTJOIN(" ", TRUE, _xlfn._xlws.FILTER(C145:BF145, MOD(COLUMN(C145:BF145)-COLUMN(BJ145),2)=0))</f>
        <v>GOOD READER AND INTRESTED IN NEWS ALSO IN TELUGU LANGUAGE,AND ALSO UNDERSTANDS  THEAME OF THE BOOKS STORIES  AVERAGE PERFORMANCE NEAUTRAL PARTCIPATION CLASS CANCELED INTERESTED IN STORY , NOVEL BOOKS GOOD IN READING WITH CONCENTRATELY GOOD IN READING BUUT NEED TO FOCUS IN VOCABULARY NEED TO BE FOCUSED,BIT CONFUSED,GOING THROUGH PICTURE PREFER TO READ TELUGU STORY BOOKS</v>
      </c>
      <c r="BI145" s="11"/>
      <c r="BJ145" s="11"/>
      <c r="BK145" s="11"/>
      <c r="BL145" s="11"/>
      <c r="BM145" s="11"/>
      <c r="BN145" s="11"/>
    </row>
    <row r="146" spans="1:66" ht="14.35" customHeight="1" x14ac:dyDescent="0.45">
      <c r="A146" s="33"/>
      <c r="B146" s="14" t="s">
        <v>44</v>
      </c>
      <c r="C146" s="8"/>
      <c r="D146" s="11"/>
      <c r="E146" s="8"/>
      <c r="F146" s="11"/>
      <c r="G146" s="8"/>
      <c r="H146" s="11"/>
      <c r="I146" s="11"/>
      <c r="J146" s="11"/>
      <c r="K146" s="11"/>
      <c r="L146" s="11"/>
      <c r="M146" s="8"/>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8" t="str">
        <f t="shared" si="4"/>
        <v/>
      </c>
      <c r="BH146" s="12" t="str" cm="1">
        <f t="array" ref="BH146">_xlfn.TEXTJOIN(" ", TRUE, _xlfn._xlws.FILTER(C146:BF146, MOD(COLUMN(C146:BF146)-COLUMN(BJ146),2)=0))</f>
        <v/>
      </c>
      <c r="BI146" s="11"/>
      <c r="BJ146" s="11"/>
      <c r="BK146" s="11"/>
      <c r="BL146" s="11"/>
      <c r="BM146" s="11"/>
      <c r="BN146" s="11"/>
    </row>
    <row r="147" spans="1:66" ht="14.35" customHeight="1" x14ac:dyDescent="0.45">
      <c r="A147" s="31" t="s">
        <v>393</v>
      </c>
      <c r="B147" s="14" t="s">
        <v>39</v>
      </c>
      <c r="C147" s="8"/>
      <c r="D147" s="11"/>
      <c r="E147" s="8"/>
      <c r="F147" s="11"/>
      <c r="G147" s="8"/>
      <c r="H147" s="11"/>
      <c r="I147" s="11"/>
      <c r="J147" s="11"/>
      <c r="K147" s="8"/>
      <c r="L147" s="11"/>
      <c r="M147" s="8"/>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8" t="str">
        <f t="shared" si="4"/>
        <v/>
      </c>
      <c r="BH147" s="12" t="str" cm="1">
        <f t="array" ref="BH147">_xlfn.TEXTJOIN(" ", TRUE, _xlfn._xlws.FILTER(C147:BF147, MOD(COLUMN(C147:BF147)-COLUMN(BJ147),2)=0))</f>
        <v/>
      </c>
      <c r="BI147" s="11"/>
      <c r="BJ147" s="11"/>
      <c r="BK147" s="11"/>
      <c r="BL147" s="11"/>
      <c r="BM147" s="11"/>
      <c r="BN147" s="11"/>
    </row>
    <row r="148" spans="1:66" ht="14.35" customHeight="1" x14ac:dyDescent="0.45">
      <c r="A148" s="32"/>
      <c r="B148" s="14" t="s">
        <v>40</v>
      </c>
      <c r="C148" s="8">
        <v>50</v>
      </c>
      <c r="D148" s="11" t="s">
        <v>104</v>
      </c>
      <c r="E148" s="15">
        <v>65</v>
      </c>
      <c r="F148" s="11" t="s">
        <v>104</v>
      </c>
      <c r="G148" s="8">
        <v>75</v>
      </c>
      <c r="H148" s="11" t="s">
        <v>128</v>
      </c>
      <c r="I148" s="22">
        <v>85</v>
      </c>
      <c r="J148" s="11" t="s">
        <v>222</v>
      </c>
      <c r="K148" s="8">
        <v>75</v>
      </c>
      <c r="L148" s="11" t="s">
        <v>176</v>
      </c>
      <c r="M148" s="17">
        <v>85</v>
      </c>
      <c r="N148" s="11" t="s">
        <v>222</v>
      </c>
      <c r="O148" s="11"/>
      <c r="P148" s="11"/>
      <c r="Q148" s="11"/>
      <c r="R148" s="11"/>
      <c r="S148" s="11"/>
      <c r="T148" s="11"/>
      <c r="U148" s="26">
        <v>85</v>
      </c>
      <c r="V148" s="11" t="s">
        <v>352</v>
      </c>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8">
        <f t="shared" si="4"/>
        <v>74.285714285714292</v>
      </c>
      <c r="BH148" s="12" t="str" cm="1">
        <f t="array" ref="BH148">_xlfn.TEXTJOIN(" ", TRUE, _xlfn._xlws.FILTER(C148:BF148, MOD(COLUMN(C148:BF148)-COLUMN(BJ148),2)=0))</f>
        <v>GOOD IN SHUTTLE GOOD IN SHUTTLE GOOD IN KHO KHO PLAYING WELL SHUTTLE INTERESTED IN KHABADI PLAYING WELL SHUTTLE INTERESTED IN FOOTBALL&amp;PARTICIPATED IN RUNNING ALSO</v>
      </c>
      <c r="BI148" s="11"/>
      <c r="BJ148" s="11"/>
      <c r="BK148" s="11"/>
      <c r="BL148" s="11"/>
      <c r="BM148" s="11"/>
      <c r="BN148" s="11"/>
    </row>
    <row r="149" spans="1:66" ht="14.35" customHeight="1" x14ac:dyDescent="0.45">
      <c r="A149" s="32"/>
      <c r="B149" s="14" t="s">
        <v>41</v>
      </c>
      <c r="C149" s="8">
        <v>75</v>
      </c>
      <c r="D149" s="11" t="s">
        <v>103</v>
      </c>
      <c r="E149" s="15">
        <v>65</v>
      </c>
      <c r="F149" s="11" t="s">
        <v>129</v>
      </c>
      <c r="G149" s="8">
        <v>75</v>
      </c>
      <c r="H149" s="11" t="s">
        <v>103</v>
      </c>
      <c r="I149" s="11">
        <v>75</v>
      </c>
      <c r="J149" s="11" t="s">
        <v>223</v>
      </c>
      <c r="K149" s="8">
        <v>75</v>
      </c>
      <c r="L149" s="11" t="s">
        <v>191</v>
      </c>
      <c r="M149" s="8">
        <v>75</v>
      </c>
      <c r="N149" s="11" t="s">
        <v>223</v>
      </c>
      <c r="O149" s="11"/>
      <c r="P149" s="11"/>
      <c r="Q149" s="11"/>
      <c r="R149" s="11"/>
      <c r="S149" s="11"/>
      <c r="T149" s="11"/>
      <c r="U149" s="11">
        <v>75</v>
      </c>
      <c r="V149" s="11" t="s">
        <v>343</v>
      </c>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8">
        <f t="shared" si="4"/>
        <v>73.571428571428569</v>
      </c>
      <c r="BH149" s="12" t="str" cm="1">
        <f t="array" ref="BH149">_xlfn.TEXTJOIN(" ", TRUE, _xlfn._xlws.FILTER(C149:BF149, MOD(COLUMN(C149:BF149)-COLUMN(BJ149),2)=0))</f>
        <v>SHOWING INTEREST BUT NEED PRACTICE PERFORMING WELL NEED PRACTISE SHOWING INTEREST BUT NEED PRACTICE ANSWERING WELL ACTIVE PARTICEPATION INTERESTED IN TYPING &amp; PICTURE CREATINGS, &amp; MOON LIGHT ANSWERING WELL ACTIVE PARTICEPATION JUST LEARNING BASIC SKILLS</v>
      </c>
      <c r="BI149" s="11"/>
      <c r="BJ149" s="11"/>
      <c r="BK149" s="11"/>
      <c r="BL149" s="11"/>
      <c r="BM149" s="11"/>
      <c r="BN149" s="11"/>
    </row>
    <row r="150" spans="1:66" ht="14.35" customHeight="1" x14ac:dyDescent="0.45">
      <c r="A150" s="32"/>
      <c r="B150" s="14" t="s">
        <v>42</v>
      </c>
      <c r="C150" s="8">
        <v>75</v>
      </c>
      <c r="D150" s="11" t="s">
        <v>84</v>
      </c>
      <c r="E150" s="8" t="s">
        <v>83</v>
      </c>
      <c r="F150" s="11"/>
      <c r="G150" s="8">
        <v>50</v>
      </c>
      <c r="H150" s="11" t="s">
        <v>149</v>
      </c>
      <c r="I150" s="11">
        <v>75</v>
      </c>
      <c r="J150" s="11" t="s">
        <v>237</v>
      </c>
      <c r="K150" s="8">
        <v>75</v>
      </c>
      <c r="L150" s="11" t="s">
        <v>190</v>
      </c>
      <c r="M150" s="8">
        <v>70</v>
      </c>
      <c r="N150" s="11" t="s">
        <v>263</v>
      </c>
      <c r="O150" s="11">
        <v>70</v>
      </c>
      <c r="P150" s="11" t="s">
        <v>290</v>
      </c>
      <c r="Q150" s="11"/>
      <c r="R150" s="11"/>
      <c r="S150" s="11"/>
      <c r="T150" s="11"/>
      <c r="U150" s="29">
        <v>80</v>
      </c>
      <c r="V150" s="11" t="s">
        <v>350</v>
      </c>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8">
        <f t="shared" si="4"/>
        <v>70.714285714285708</v>
      </c>
      <c r="BH150" s="12" t="str" cm="1">
        <f t="array" ref="BH150">_xlfn.TEXTJOIN(" ", TRUE, _xlfn._xlws.FILTER(C150:BF150, MOD(COLUMN(C150:BF150)-COLUMN(BJ150),2)=0))</f>
        <v>GOOD IN DRAWING WITH EXACT MEASUREMENTS ,AND  ENJOYS DOING NEED TO REFINE THE FIGURE BLENDING DIMENSIONAL EFFECTS ON THE SURFACE INTERESTED IN PENCILING, SHADING  DEPICTING THE RANGE OF THE VALUE OF THE FIGURE GOOD OBSERVATION PERFORMING WELL SHOWING WILLINGNESS IN DRAWING</v>
      </c>
      <c r="BI150" s="11"/>
      <c r="BJ150" s="11"/>
      <c r="BK150" s="11"/>
      <c r="BL150" s="11"/>
      <c r="BM150" s="11"/>
      <c r="BN150" s="11"/>
    </row>
    <row r="151" spans="1:66" ht="14.35" customHeight="1" x14ac:dyDescent="0.45">
      <c r="A151" s="32"/>
      <c r="B151" s="14" t="s">
        <v>43</v>
      </c>
      <c r="C151" s="8">
        <v>25</v>
      </c>
      <c r="D151" s="11" t="s">
        <v>75</v>
      </c>
      <c r="E151" s="8">
        <v>50</v>
      </c>
      <c r="F151" s="11" t="s">
        <v>113</v>
      </c>
      <c r="G151" s="8">
        <v>50</v>
      </c>
      <c r="H151" s="11" t="s">
        <v>106</v>
      </c>
      <c r="I151" s="11"/>
      <c r="J151" s="11" t="s">
        <v>163</v>
      </c>
      <c r="K151" s="8"/>
      <c r="L151" s="11"/>
      <c r="M151" s="8">
        <v>50</v>
      </c>
      <c r="N151" s="11" t="s">
        <v>248</v>
      </c>
      <c r="O151" s="11"/>
      <c r="P151" s="11"/>
      <c r="Q151" s="11">
        <v>55</v>
      </c>
      <c r="R151" s="11" t="s">
        <v>296</v>
      </c>
      <c r="S151" s="11"/>
      <c r="T151" s="11"/>
      <c r="U151" s="29">
        <v>80</v>
      </c>
      <c r="V151" s="11" t="s">
        <v>353</v>
      </c>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8">
        <f t="shared" si="4"/>
        <v>51.666666666666664</v>
      </c>
      <c r="BH151" s="12" t="str" cm="1">
        <f t="array" ref="BH151">_xlfn.TEXTJOIN(" ", TRUE, _xlfn._xlws.FILTER(C151:BF151, MOD(COLUMN(C151:BF151)-COLUMN(BJ151),2)=0))</f>
        <v>JUST PARTICIPATION GOOD INTESREST BUT NEED TO IMPROVE VOCABULARY DOING GOOD BUT NEED TO CONCENTRATE CLASS CANCELED AVERAGE INTERESTED AVERAGE PERFORFMANCE PREFER TO READ ALL KIND OF BOOKS</v>
      </c>
      <c r="BI151" s="11"/>
      <c r="BJ151" s="11"/>
      <c r="BK151" s="11"/>
      <c r="BL151" s="11"/>
      <c r="BM151" s="11"/>
      <c r="BN151" s="11"/>
    </row>
    <row r="152" spans="1:66" ht="14.35" customHeight="1" x14ac:dyDescent="0.45">
      <c r="A152" s="33"/>
      <c r="B152" s="14" t="s">
        <v>44</v>
      </c>
      <c r="C152" s="8"/>
      <c r="D152" s="11"/>
      <c r="E152" s="8"/>
      <c r="F152" s="11"/>
      <c r="G152" s="8"/>
      <c r="H152" s="11"/>
      <c r="I152" s="11"/>
      <c r="J152" s="11"/>
      <c r="K152" s="11"/>
      <c r="L152" s="11"/>
      <c r="M152" s="8"/>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8" t="str">
        <f t="shared" si="4"/>
        <v/>
      </c>
      <c r="BH152" s="12" t="str" cm="1">
        <f t="array" ref="BH152">_xlfn.TEXTJOIN(" ", TRUE, _xlfn._xlws.FILTER(C152:BF152, MOD(COLUMN(C152:BF152)-COLUMN(BJ152),2)=0))</f>
        <v/>
      </c>
      <c r="BI152" s="11"/>
      <c r="BJ152" s="11"/>
      <c r="BK152" s="11"/>
      <c r="BL152" s="11"/>
      <c r="BM152" s="11"/>
      <c r="BN152" s="11"/>
    </row>
    <row r="153" spans="1:66" ht="14.35" customHeight="1" x14ac:dyDescent="0.45">
      <c r="A153" s="31" t="s">
        <v>63</v>
      </c>
      <c r="B153" s="14" t="s">
        <v>39</v>
      </c>
      <c r="C153" s="8"/>
      <c r="D153" s="11"/>
      <c r="E153" s="8"/>
      <c r="F153" s="11"/>
      <c r="G153" s="8"/>
      <c r="H153" s="11"/>
      <c r="I153" s="11"/>
      <c r="J153" s="11"/>
      <c r="K153" s="8">
        <v>75</v>
      </c>
      <c r="L153" s="11" t="s">
        <v>192</v>
      </c>
      <c r="M153" s="8"/>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8">
        <f t="shared" si="4"/>
        <v>75</v>
      </c>
      <c r="BH153" s="12" t="str" cm="1">
        <f t="array" ref="BH153">_xlfn.TEXTJOIN(" ", TRUE, _xlfn._xlws.FILTER(C153:BF153, MOD(COLUMN(C153:BF153)-COLUMN(BJ153),2)=0))</f>
        <v>INTERESTED IN BIOLOGYI</v>
      </c>
      <c r="BI153" s="11"/>
      <c r="BJ153" s="11"/>
      <c r="BK153" s="11"/>
      <c r="BL153" s="11"/>
      <c r="BM153" s="11"/>
      <c r="BN153" s="11"/>
    </row>
    <row r="154" spans="1:66" ht="14.35" customHeight="1" x14ac:dyDescent="0.45">
      <c r="A154" s="32"/>
      <c r="B154" s="14" t="s">
        <v>40</v>
      </c>
      <c r="C154" s="8">
        <v>50</v>
      </c>
      <c r="D154" s="11" t="s">
        <v>104</v>
      </c>
      <c r="E154" s="15">
        <v>65</v>
      </c>
      <c r="F154" s="11" t="s">
        <v>104</v>
      </c>
      <c r="G154" s="8">
        <v>75</v>
      </c>
      <c r="H154" s="11" t="s">
        <v>128</v>
      </c>
      <c r="I154" s="22">
        <v>85</v>
      </c>
      <c r="J154" s="11" t="s">
        <v>222</v>
      </c>
      <c r="K154" s="8">
        <v>75</v>
      </c>
      <c r="L154" s="11" t="s">
        <v>176</v>
      </c>
      <c r="M154" s="17">
        <v>85</v>
      </c>
      <c r="N154" s="11" t="s">
        <v>222</v>
      </c>
      <c r="O154" s="11"/>
      <c r="P154" s="11"/>
      <c r="Q154" s="11"/>
      <c r="R154" s="11"/>
      <c r="S154" s="11"/>
      <c r="T154" s="11"/>
      <c r="U154" s="26">
        <v>85</v>
      </c>
      <c r="V154" s="11" t="s">
        <v>378</v>
      </c>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8">
        <f t="shared" si="4"/>
        <v>74.285714285714292</v>
      </c>
      <c r="BH154" s="12" t="str" cm="1">
        <f t="array" ref="BH154">_xlfn.TEXTJOIN(" ", TRUE, _xlfn._xlws.FILTER(C154:BF154, MOD(COLUMN(C154:BF154)-COLUMN(BJ154),2)=0))</f>
        <v>GOOD IN SHUTTLE GOOD IN SHUTTLE GOOD IN KHO KHO PLAYING WELL SHUTTLE INTERESTED IN KHABADI PLAYING WELL SHUTTLE INTERESTED IN THROWBALL,KHOKHO,KHABADI</v>
      </c>
      <c r="BI154" s="11"/>
      <c r="BJ154" s="11"/>
      <c r="BK154" s="11"/>
      <c r="BL154" s="11"/>
      <c r="BM154" s="11"/>
      <c r="BN154" s="11"/>
    </row>
    <row r="155" spans="1:66" ht="14.35" customHeight="1" x14ac:dyDescent="0.45">
      <c r="A155" s="32"/>
      <c r="B155" s="14" t="s">
        <v>41</v>
      </c>
      <c r="C155" s="8">
        <v>75</v>
      </c>
      <c r="D155" s="11" t="s">
        <v>103</v>
      </c>
      <c r="E155" s="15">
        <v>65</v>
      </c>
      <c r="F155" s="11" t="s">
        <v>129</v>
      </c>
      <c r="G155" s="8">
        <v>75</v>
      </c>
      <c r="H155" s="11" t="s">
        <v>103</v>
      </c>
      <c r="I155" s="11">
        <v>75</v>
      </c>
      <c r="J155" s="11" t="s">
        <v>223</v>
      </c>
      <c r="K155" s="8"/>
      <c r="L155" s="11"/>
      <c r="M155" s="8">
        <v>75</v>
      </c>
      <c r="N155" s="11" t="s">
        <v>223</v>
      </c>
      <c r="O155" s="11"/>
      <c r="P155" s="11"/>
      <c r="Q155" s="11"/>
      <c r="R155" s="11"/>
      <c r="S155" s="11"/>
      <c r="T155" s="11"/>
      <c r="U155" s="29">
        <v>80</v>
      </c>
      <c r="V155" s="11" t="s">
        <v>343</v>
      </c>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8">
        <f t="shared" si="4"/>
        <v>74.166666666666671</v>
      </c>
      <c r="BH155" s="12" t="str" cm="1">
        <f t="array" ref="BH155">_xlfn.TEXTJOIN(" ", TRUE, _xlfn._xlws.FILTER(C155:BF155, MOD(COLUMN(C155:BF155)-COLUMN(BJ155),2)=0))</f>
        <v>SHOWING INTEREST BUT NEED PRACTICE PERFORMING WELL NEED PRACTISE SHOWING INTEREST BUT NEED PRACTICE ANSWERING WELL ACTIVE PARTICEPATION ANSWERING WELL ACTIVE PARTICEPATION JUST LEARNING BASIC SKILLS</v>
      </c>
      <c r="BI155" s="11"/>
      <c r="BJ155" s="11"/>
      <c r="BK155" s="11"/>
      <c r="BL155" s="11"/>
      <c r="BM155" s="11"/>
      <c r="BN155" s="11"/>
    </row>
    <row r="156" spans="1:66" ht="14.35" customHeight="1" x14ac:dyDescent="0.45">
      <c r="A156" s="32"/>
      <c r="B156" s="14" t="s">
        <v>42</v>
      </c>
      <c r="C156" s="8">
        <v>50</v>
      </c>
      <c r="D156" s="11" t="s">
        <v>76</v>
      </c>
      <c r="E156" s="8">
        <v>50</v>
      </c>
      <c r="F156" s="11" t="s">
        <v>146</v>
      </c>
      <c r="G156" s="8">
        <v>25</v>
      </c>
      <c r="H156" s="11" t="s">
        <v>160</v>
      </c>
      <c r="I156" s="8">
        <v>50</v>
      </c>
      <c r="J156" s="11" t="s">
        <v>236</v>
      </c>
      <c r="K156" s="8"/>
      <c r="L156" s="11"/>
      <c r="M156" s="8">
        <v>60</v>
      </c>
      <c r="N156" s="11" t="s">
        <v>259</v>
      </c>
      <c r="O156" s="11">
        <v>75</v>
      </c>
      <c r="P156" s="11" t="s">
        <v>289</v>
      </c>
      <c r="Q156" s="11"/>
      <c r="R156" s="11"/>
      <c r="S156" s="11"/>
      <c r="T156" s="11"/>
      <c r="U156" s="29">
        <v>80</v>
      </c>
      <c r="V156" s="11" t="s">
        <v>350</v>
      </c>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8">
        <f t="shared" si="4"/>
        <v>55.714285714285715</v>
      </c>
      <c r="BH156" s="12" t="str" cm="1">
        <f t="array" ref="BH156">_xlfn.TEXTJOIN(" ", TRUE, _xlfn._xlws.FILTER(C156:BF156, MOD(COLUMN(C156:BF156)-COLUMN(BJ156),2)=0))</f>
        <v>AVERAGE PARTICIPATION GOOD IN VISUAL COMPONENTS NEUTRAL PARTICIPATION NEED TO PRACTICE AVERAGE PARTICEPATION NEED TO REFINE THE FIGUIRE DIMPLIFYING THE SHAPE OF THE FIGURE NEATLY SHOWING WILLINGNESS IN DRAWING</v>
      </c>
      <c r="BI156" s="11"/>
      <c r="BJ156" s="11"/>
      <c r="BK156" s="11"/>
      <c r="BL156" s="11"/>
      <c r="BM156" s="11"/>
      <c r="BN156" s="11"/>
    </row>
    <row r="157" spans="1:66" ht="14.35" customHeight="1" x14ac:dyDescent="0.45">
      <c r="A157" s="32"/>
      <c r="B157" s="14" t="s">
        <v>43</v>
      </c>
      <c r="C157" s="8">
        <v>25</v>
      </c>
      <c r="D157" s="11" t="s">
        <v>71</v>
      </c>
      <c r="E157" s="8">
        <v>25</v>
      </c>
      <c r="F157" s="11" t="s">
        <v>92</v>
      </c>
      <c r="G157" s="8">
        <v>50</v>
      </c>
      <c r="H157" s="11" t="s">
        <v>113</v>
      </c>
      <c r="I157" s="11"/>
      <c r="J157" s="11" t="s">
        <v>163</v>
      </c>
      <c r="K157" s="15">
        <v>65</v>
      </c>
      <c r="L157" s="11" t="s">
        <v>178</v>
      </c>
      <c r="M157" s="8">
        <v>25</v>
      </c>
      <c r="N157" s="11" t="s">
        <v>247</v>
      </c>
      <c r="O157" s="11"/>
      <c r="P157" s="11"/>
      <c r="Q157" s="11">
        <v>60</v>
      </c>
      <c r="R157" s="11" t="s">
        <v>307</v>
      </c>
      <c r="S157" s="11"/>
      <c r="T157" s="11"/>
      <c r="U157" s="26">
        <v>85</v>
      </c>
      <c r="V157" s="11" t="s">
        <v>365</v>
      </c>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8">
        <f t="shared" si="4"/>
        <v>47.857142857142854</v>
      </c>
      <c r="BH157" s="12" t="str" cm="1">
        <f t="array" ref="BH157">_xlfn.TEXTJOIN(" ", TRUE, _xlfn._xlws.FILTER(C157:BF157, MOD(COLUMN(C157:BF157)-COLUMN(BJ157),2)=0))</f>
        <v>NEUTRAL PARTICIPATING JUST PARTICIPATING GOOD INTESREST BUT NEED TO IMPROVE VOCABULARY CLASS CANCELED INTERESTED IN STORY BOOKS JUST PARTCIPATION NEED TO PARTICE ON VOCABULARY,INTERESTED IN READING BOOKS PREFER ALL KIND OF BOOKS TO READ</v>
      </c>
      <c r="BI157" s="11"/>
      <c r="BJ157" s="11"/>
      <c r="BK157" s="11"/>
      <c r="BL157" s="11"/>
      <c r="BM157" s="11"/>
      <c r="BN157" s="11"/>
    </row>
    <row r="158" spans="1:66" ht="14.35" customHeight="1" x14ac:dyDescent="0.45">
      <c r="A158" s="33"/>
      <c r="B158" s="14" t="s">
        <v>44</v>
      </c>
      <c r="C158" s="8"/>
      <c r="D158" s="11"/>
      <c r="E158" s="8"/>
      <c r="F158" s="11"/>
      <c r="G158" s="8"/>
      <c r="H158" s="11"/>
      <c r="I158" s="11"/>
      <c r="J158" s="11"/>
      <c r="K158" s="11"/>
      <c r="L158" s="11"/>
      <c r="M158" s="8"/>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8" t="str">
        <f t="shared" si="4"/>
        <v/>
      </c>
      <c r="BH158" s="12" t="str" cm="1">
        <f t="array" ref="BH158">_xlfn.TEXTJOIN(" ", TRUE, _xlfn._xlws.FILTER(C158:BF158, MOD(COLUMN(C158:BF158)-COLUMN(BJ158),2)=0))</f>
        <v/>
      </c>
      <c r="BI158" s="11"/>
      <c r="BJ158" s="11"/>
      <c r="BK158" s="11"/>
      <c r="BL158" s="11"/>
      <c r="BM158" s="11"/>
      <c r="BN158" s="11"/>
    </row>
    <row r="159" spans="1:66" ht="14.35" customHeight="1" x14ac:dyDescent="0.45">
      <c r="A159" s="31" t="s">
        <v>64</v>
      </c>
      <c r="B159" s="14" t="s">
        <v>39</v>
      </c>
      <c r="C159" s="8"/>
      <c r="D159" s="11"/>
      <c r="E159" s="8"/>
      <c r="F159" s="11"/>
      <c r="G159" s="8"/>
      <c r="H159" s="11"/>
      <c r="I159" s="11"/>
      <c r="J159" s="11"/>
      <c r="K159" s="8">
        <v>75</v>
      </c>
      <c r="L159" s="11" t="s">
        <v>168</v>
      </c>
      <c r="M159" s="8"/>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8">
        <f t="shared" si="4"/>
        <v>75</v>
      </c>
      <c r="BH159" s="12" t="str" cm="1">
        <f t="array" ref="BH159">_xlfn.TEXTJOIN(" ", TRUE, _xlfn._xlws.FILTER(C159:BF159, MOD(COLUMN(C159:BF159)-COLUMN(BJ159),2)=0))</f>
        <v>INTERESTED IN BIOLOGY</v>
      </c>
      <c r="BI159" s="11"/>
      <c r="BJ159" s="11"/>
      <c r="BK159" s="11"/>
      <c r="BL159" s="11"/>
      <c r="BM159" s="11"/>
      <c r="BN159" s="11"/>
    </row>
    <row r="160" spans="1:66" ht="14.35" customHeight="1" x14ac:dyDescent="0.45">
      <c r="A160" s="32"/>
      <c r="B160" s="14" t="s">
        <v>40</v>
      </c>
      <c r="C160" s="8">
        <v>50</v>
      </c>
      <c r="D160" s="11" t="s">
        <v>104</v>
      </c>
      <c r="E160" s="15">
        <v>65</v>
      </c>
      <c r="F160" s="11" t="s">
        <v>104</v>
      </c>
      <c r="G160" s="8">
        <v>75</v>
      </c>
      <c r="H160" s="11" t="s">
        <v>128</v>
      </c>
      <c r="I160" s="22">
        <v>85</v>
      </c>
      <c r="J160" s="11" t="s">
        <v>222</v>
      </c>
      <c r="K160" s="8">
        <v>75</v>
      </c>
      <c r="L160" s="11" t="s">
        <v>169</v>
      </c>
      <c r="M160" s="17">
        <v>85</v>
      </c>
      <c r="N160" s="11" t="s">
        <v>222</v>
      </c>
      <c r="O160" s="11"/>
      <c r="P160" s="11"/>
      <c r="Q160" s="11"/>
      <c r="R160" s="11"/>
      <c r="S160" s="11"/>
      <c r="T160" s="11"/>
      <c r="U160" s="26">
        <v>85</v>
      </c>
      <c r="V160" s="11" t="s">
        <v>378</v>
      </c>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8">
        <f t="shared" si="4"/>
        <v>74.285714285714292</v>
      </c>
      <c r="BH160" s="12" t="str" cm="1">
        <f t="array" ref="BH160">_xlfn.TEXTJOIN(" ", TRUE, _xlfn._xlws.FILTER(C160:BF160, MOD(COLUMN(C160:BF160)-COLUMN(BJ160),2)=0))</f>
        <v>GOOD IN SHUTTLE GOOD IN SHUTTLE GOOD IN KHO KHO PLAYING WELL SHUTTLE INTERESTED IN BADMENTAN PLAYING WELL SHUTTLE INTERESTED IN THROWBALL,KHOKHO,KHABADI</v>
      </c>
      <c r="BI160" s="11"/>
      <c r="BJ160" s="11"/>
      <c r="BK160" s="11"/>
      <c r="BL160" s="11"/>
      <c r="BM160" s="11"/>
      <c r="BN160" s="11"/>
    </row>
    <row r="161" spans="1:66" ht="14.35" customHeight="1" x14ac:dyDescent="0.45">
      <c r="A161" s="32"/>
      <c r="B161" s="14" t="s">
        <v>41</v>
      </c>
      <c r="C161" s="8">
        <v>75</v>
      </c>
      <c r="D161" s="11" t="s">
        <v>103</v>
      </c>
      <c r="E161" s="15">
        <v>65</v>
      </c>
      <c r="F161" s="11" t="s">
        <v>129</v>
      </c>
      <c r="G161" s="8">
        <v>75</v>
      </c>
      <c r="H161" s="11" t="s">
        <v>103</v>
      </c>
      <c r="I161" s="11">
        <v>75</v>
      </c>
      <c r="J161" s="11" t="s">
        <v>223</v>
      </c>
      <c r="K161" s="15">
        <v>65</v>
      </c>
      <c r="L161" s="11" t="s">
        <v>170</v>
      </c>
      <c r="M161" s="8">
        <v>75</v>
      </c>
      <c r="N161" s="11" t="s">
        <v>223</v>
      </c>
      <c r="O161" s="11"/>
      <c r="P161" s="11"/>
      <c r="Q161" s="11"/>
      <c r="R161" s="11"/>
      <c r="S161" s="11"/>
      <c r="T161" s="11"/>
      <c r="U161" s="29">
        <v>80</v>
      </c>
      <c r="V161" s="11" t="s">
        <v>343</v>
      </c>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8">
        <f t="shared" si="4"/>
        <v>72.857142857142861</v>
      </c>
      <c r="BH161" s="12" t="str" cm="1">
        <f t="array" ref="BH161">_xlfn.TEXTJOIN(" ", TRUE, _xlfn._xlws.FILTER(C161:BF161, MOD(COLUMN(C161:BF161)-COLUMN(BJ161),2)=0))</f>
        <v>SHOWING INTEREST BUT NEED PRACTICE PERFORMING WELL NEED PRACTISE SHOWING INTEREST BUT NEED PRACTICE ANSWERING WELL ACTIVE PARTICEPATION INTERESTED IN TYPING ANSWERING WELL ACTIVE PARTICEPATION JUST LEARNING BASIC SKILLS</v>
      </c>
      <c r="BI161" s="11"/>
      <c r="BJ161" s="11"/>
      <c r="BK161" s="11"/>
      <c r="BL161" s="11"/>
      <c r="BM161" s="11"/>
      <c r="BN161" s="11"/>
    </row>
    <row r="162" spans="1:66" ht="14.35" customHeight="1" x14ac:dyDescent="0.45">
      <c r="A162" s="32"/>
      <c r="B162" s="14" t="s">
        <v>42</v>
      </c>
      <c r="C162" s="8">
        <v>25</v>
      </c>
      <c r="D162" s="11" t="s">
        <v>81</v>
      </c>
      <c r="E162" s="8">
        <v>50</v>
      </c>
      <c r="F162" s="11" t="s">
        <v>144</v>
      </c>
      <c r="G162" s="15">
        <v>65</v>
      </c>
      <c r="H162" s="11" t="s">
        <v>148</v>
      </c>
      <c r="I162" s="8">
        <v>50</v>
      </c>
      <c r="J162" s="11" t="s">
        <v>236</v>
      </c>
      <c r="K162" s="15">
        <v>65</v>
      </c>
      <c r="L162" s="11" t="s">
        <v>171</v>
      </c>
      <c r="M162" s="8">
        <v>65</v>
      </c>
      <c r="N162" s="11" t="s">
        <v>261</v>
      </c>
      <c r="O162" s="11">
        <v>75</v>
      </c>
      <c r="P162" s="11" t="s">
        <v>277</v>
      </c>
      <c r="Q162" s="11"/>
      <c r="R162" s="11"/>
      <c r="S162" s="11"/>
      <c r="T162" s="11"/>
      <c r="U162" s="29">
        <v>80</v>
      </c>
      <c r="V162" s="11" t="s">
        <v>350</v>
      </c>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8">
        <f t="shared" si="4"/>
        <v>59.375</v>
      </c>
      <c r="BH162" s="12" t="str" cm="1">
        <f t="array" ref="BH162">_xlfn.TEXTJOIN(" ", TRUE, _xlfn._xlws.FILTER(C162:BF162, MOD(COLUMN(C162:BF162)-COLUMN(BJ162),2)=0))</f>
        <v>NEAUTRAL  PARTICIPATION PROPORTION OF THE FIGURE IS ACCURATE AND NEAT GOOD OBSERVATION SKILLS NEED TO PRACTICE AVERAGE PARTICEPATION INTERESTED DRAWING FLOWERS SIMPLIFYING THE SHAPE IS GOOD  GOOD IN BALANCING POSITIVE REINFORCEMENT OF THE FIGURE SHOWING WILLINGNESS IN DRAWING</v>
      </c>
      <c r="BI162" s="11"/>
      <c r="BJ162" s="11"/>
      <c r="BK162" s="11"/>
      <c r="BL162" s="11"/>
      <c r="BM162" s="11"/>
      <c r="BN162" s="11"/>
    </row>
    <row r="163" spans="1:66" ht="14.35" customHeight="1" x14ac:dyDescent="0.45">
      <c r="A163" s="32"/>
      <c r="B163" s="14" t="s">
        <v>43</v>
      </c>
      <c r="C163" s="8">
        <v>25</v>
      </c>
      <c r="D163" s="11" t="s">
        <v>81</v>
      </c>
      <c r="E163" s="8" t="s">
        <v>82</v>
      </c>
      <c r="F163" s="11" t="s">
        <v>83</v>
      </c>
      <c r="G163" s="8">
        <v>25</v>
      </c>
      <c r="H163" s="11" t="s">
        <v>122</v>
      </c>
      <c r="I163" s="11"/>
      <c r="J163" s="11" t="s">
        <v>163</v>
      </c>
      <c r="K163" s="8">
        <v>75</v>
      </c>
      <c r="L163" s="11" t="s">
        <v>172</v>
      </c>
      <c r="M163" s="8">
        <v>50</v>
      </c>
      <c r="N163" s="11" t="s">
        <v>250</v>
      </c>
      <c r="O163" s="11"/>
      <c r="P163" s="11"/>
      <c r="Q163" s="11">
        <v>55</v>
      </c>
      <c r="R163" s="11" t="s">
        <v>296</v>
      </c>
      <c r="S163" s="11"/>
      <c r="T163" s="11"/>
      <c r="U163" s="26">
        <v>85</v>
      </c>
      <c r="V163" s="11" t="s">
        <v>381</v>
      </c>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8">
        <f t="shared" si="4"/>
        <v>52.5</v>
      </c>
      <c r="BH163" s="12" t="str" cm="1">
        <f t="array" ref="BH163">_xlfn.TEXTJOIN(" ", TRUE, _xlfn._xlws.FILTER(C163:BF163, MOD(COLUMN(C163:BF163)-COLUMN(BJ163),2)=0))</f>
        <v>NEAUTRAL  PARTICIPATION ABSENT JUST PATCIPATION CLASS CANCELED INTERESTED IN HORROR BOOKS GOOD IN READING BUT NEED TO FOCUS AVERAGE PERFORFMANCE PREFER MORAL STORIES TO READ</v>
      </c>
      <c r="BI163" s="11"/>
      <c r="BJ163" s="11"/>
      <c r="BK163" s="11"/>
      <c r="BL163" s="11"/>
      <c r="BM163" s="11"/>
      <c r="BN163" s="11"/>
    </row>
    <row r="164" spans="1:66" ht="14.35" customHeight="1" x14ac:dyDescent="0.45">
      <c r="A164" s="33"/>
      <c r="B164" s="14" t="s">
        <v>44</v>
      </c>
      <c r="C164" s="8"/>
      <c r="D164" s="11"/>
      <c r="E164" s="8"/>
      <c r="F164" s="11"/>
      <c r="G164" s="8"/>
      <c r="H164" s="11"/>
      <c r="I164" s="11"/>
      <c r="J164" s="11"/>
      <c r="K164" s="11"/>
      <c r="L164" s="11"/>
      <c r="M164" s="8"/>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8" t="str">
        <f t="shared" ref="BG164:BG208" si="5">IFERROR(AVERAGEIF(C164:BE164,"&lt;&gt;nill"), "")</f>
        <v/>
      </c>
      <c r="BH164" s="12" t="str" cm="1">
        <f t="array" ref="BH164">_xlfn.TEXTJOIN(" ", TRUE, _xlfn._xlws.FILTER(C164:BF164, MOD(COLUMN(C164:BF164)-COLUMN(BJ164),2)=0))</f>
        <v/>
      </c>
      <c r="BI164" s="11"/>
      <c r="BJ164" s="11"/>
      <c r="BK164" s="11"/>
      <c r="BL164" s="11"/>
      <c r="BM164" s="11"/>
      <c r="BN164" s="11"/>
    </row>
    <row r="165" spans="1:66" ht="14.35" customHeight="1" x14ac:dyDescent="0.45">
      <c r="A165" s="31" t="s">
        <v>65</v>
      </c>
      <c r="B165" s="14" t="s">
        <v>39</v>
      </c>
      <c r="C165" s="8"/>
      <c r="D165" s="11"/>
      <c r="E165" s="8"/>
      <c r="F165" s="11"/>
      <c r="G165" s="8"/>
      <c r="H165" s="11"/>
      <c r="I165" s="11"/>
      <c r="J165" s="11"/>
      <c r="K165" s="15">
        <v>65</v>
      </c>
      <c r="L165" s="11" t="s">
        <v>168</v>
      </c>
      <c r="M165" s="8"/>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8">
        <f t="shared" si="5"/>
        <v>65</v>
      </c>
      <c r="BH165" s="12" t="str" cm="1">
        <f t="array" ref="BH165">_xlfn.TEXTJOIN(" ", TRUE, _xlfn._xlws.FILTER(C165:BF165, MOD(COLUMN(C165:BF165)-COLUMN(BJ165),2)=0))</f>
        <v>INTERESTED IN BIOLOGY</v>
      </c>
      <c r="BI165" s="11"/>
      <c r="BJ165" s="11"/>
      <c r="BK165" s="11"/>
      <c r="BL165" s="11"/>
      <c r="BM165" s="11"/>
      <c r="BN165" s="11"/>
    </row>
    <row r="166" spans="1:66" ht="14.35" customHeight="1" x14ac:dyDescent="0.45">
      <c r="A166" s="32"/>
      <c r="B166" s="14" t="s">
        <v>40</v>
      </c>
      <c r="C166" s="8">
        <v>50</v>
      </c>
      <c r="D166" s="11" t="s">
        <v>104</v>
      </c>
      <c r="E166" s="15">
        <v>65</v>
      </c>
      <c r="F166" s="11" t="s">
        <v>104</v>
      </c>
      <c r="G166" s="8">
        <v>75</v>
      </c>
      <c r="H166" s="11" t="s">
        <v>128</v>
      </c>
      <c r="I166" s="22">
        <v>85</v>
      </c>
      <c r="J166" s="11" t="s">
        <v>222</v>
      </c>
      <c r="K166" s="8">
        <v>75</v>
      </c>
      <c r="L166" s="11" t="s">
        <v>189</v>
      </c>
      <c r="M166" s="17">
        <v>85</v>
      </c>
      <c r="N166" s="11" t="s">
        <v>222</v>
      </c>
      <c r="O166" s="11"/>
      <c r="P166" s="11"/>
      <c r="Q166" s="11"/>
      <c r="R166" s="11"/>
      <c r="S166" s="11"/>
      <c r="T166" s="11"/>
      <c r="U166" s="26">
        <v>85</v>
      </c>
      <c r="V166" s="11" t="s">
        <v>378</v>
      </c>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8">
        <f t="shared" si="5"/>
        <v>74.285714285714292</v>
      </c>
      <c r="BH166" s="12" t="str" cm="1">
        <f t="array" ref="BH166">_xlfn.TEXTJOIN(" ", TRUE, _xlfn._xlws.FILTER(C166:BF166, MOD(COLUMN(C166:BF166)-COLUMN(BJ166),2)=0))</f>
        <v>GOOD IN SHUTTLE GOOD IN SHUTTLE GOOD IN KHO KHO PLAYING WELL SHUTTLE INTERESTED IN ALL TYPES OF GAMES PLAYING WELL SHUTTLE INTERESTED IN THROWBALL,KHOKHO,KHABADI</v>
      </c>
      <c r="BI166" s="11"/>
      <c r="BJ166" s="11"/>
      <c r="BK166" s="11"/>
      <c r="BL166" s="11"/>
      <c r="BM166" s="11"/>
      <c r="BN166" s="11"/>
    </row>
    <row r="167" spans="1:66" ht="14.35" customHeight="1" x14ac:dyDescent="0.45">
      <c r="A167" s="32"/>
      <c r="B167" s="14" t="s">
        <v>41</v>
      </c>
      <c r="C167" s="8">
        <v>75</v>
      </c>
      <c r="D167" s="11" t="s">
        <v>103</v>
      </c>
      <c r="E167" s="15">
        <v>65</v>
      </c>
      <c r="F167" s="11" t="s">
        <v>129</v>
      </c>
      <c r="G167" s="8">
        <v>75</v>
      </c>
      <c r="H167" s="11" t="s">
        <v>103</v>
      </c>
      <c r="I167" s="11">
        <v>75</v>
      </c>
      <c r="J167" s="11" t="s">
        <v>223</v>
      </c>
      <c r="K167" s="8"/>
      <c r="L167" s="11"/>
      <c r="M167" s="8">
        <v>75</v>
      </c>
      <c r="N167" s="11" t="s">
        <v>223</v>
      </c>
      <c r="O167" s="11"/>
      <c r="P167" s="11"/>
      <c r="Q167" s="11"/>
      <c r="R167" s="11"/>
      <c r="S167" s="11"/>
      <c r="T167" s="11"/>
      <c r="U167" s="29">
        <v>80</v>
      </c>
      <c r="V167" s="11" t="s">
        <v>343</v>
      </c>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8">
        <f t="shared" si="5"/>
        <v>74.166666666666671</v>
      </c>
      <c r="BH167" s="12" t="str" cm="1">
        <f t="array" ref="BH167">_xlfn.TEXTJOIN(" ", TRUE, _xlfn._xlws.FILTER(C167:BF167, MOD(COLUMN(C167:BF167)-COLUMN(BJ167),2)=0))</f>
        <v>SHOWING INTEREST BUT NEED PRACTICE PERFORMING WELL NEED PRACTISE SHOWING INTEREST BUT NEED PRACTICE ANSWERING WELL ACTIVE PARTICEPATION ANSWERING WELL ACTIVE PARTICEPATION JUST LEARNING BASIC SKILLS</v>
      </c>
      <c r="BI167" s="11"/>
      <c r="BJ167" s="11"/>
      <c r="BK167" s="11"/>
      <c r="BL167" s="11"/>
      <c r="BM167" s="11"/>
      <c r="BN167" s="11"/>
    </row>
    <row r="168" spans="1:66" ht="14.35" customHeight="1" x14ac:dyDescent="0.45">
      <c r="A168" s="32"/>
      <c r="B168" s="14" t="s">
        <v>42</v>
      </c>
      <c r="C168" s="8">
        <v>75</v>
      </c>
      <c r="D168" s="11" t="s">
        <v>85</v>
      </c>
      <c r="E168" s="8">
        <v>50</v>
      </c>
      <c r="F168" s="11" t="s">
        <v>139</v>
      </c>
      <c r="G168" s="15">
        <v>65</v>
      </c>
      <c r="H168" s="11" t="s">
        <v>149</v>
      </c>
      <c r="I168" s="23">
        <v>65</v>
      </c>
      <c r="J168" s="11" t="s">
        <v>228</v>
      </c>
      <c r="K168" s="8"/>
      <c r="L168" s="11"/>
      <c r="M168" s="8">
        <v>60</v>
      </c>
      <c r="N168" s="11" t="s">
        <v>149</v>
      </c>
      <c r="O168" s="11">
        <v>65</v>
      </c>
      <c r="P168" s="11" t="s">
        <v>268</v>
      </c>
      <c r="Q168" s="11"/>
      <c r="R168" s="11"/>
      <c r="S168" s="11"/>
      <c r="T168" s="11"/>
      <c r="U168" s="29">
        <v>80</v>
      </c>
      <c r="V168" s="11" t="s">
        <v>350</v>
      </c>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8">
        <f t="shared" si="5"/>
        <v>65.714285714285708</v>
      </c>
      <c r="BH168" s="12" t="str" cm="1">
        <f t="array" ref="BH168">_xlfn.TEXTJOIN(" ", TRUE, _xlfn._xlws.FILTER(C168:BF168, MOD(COLUMN(C168:BF168)-COLUMN(BJ168),2)=0))</f>
        <v>GOOD IN PENSILING ,GOOD OBSERVATION IN PENSILING WITH INTREST PAARTICIPATING EVALUATING THE SHADING WELL NEED TO REFINE THE FIGURE ACTIVE PARTICEPATION NEED PRACTICE NEED TO REFINE THE FIGURE DOING GOOD NEED TO REDUCE THE PRESSURE ON PENCIL SHOWING WILLINGNESS IN DRAWING</v>
      </c>
      <c r="BI168" s="11"/>
      <c r="BJ168" s="11"/>
      <c r="BK168" s="11"/>
      <c r="BL168" s="11"/>
      <c r="BM168" s="11"/>
      <c r="BN168" s="11"/>
    </row>
    <row r="169" spans="1:66" ht="14.35" customHeight="1" x14ac:dyDescent="0.45">
      <c r="A169" s="32"/>
      <c r="B169" s="14" t="s">
        <v>43</v>
      </c>
      <c r="C169" s="8">
        <v>50</v>
      </c>
      <c r="D169" s="11" t="s">
        <v>75</v>
      </c>
      <c r="E169" s="8">
        <v>25</v>
      </c>
      <c r="F169" s="11" t="s">
        <v>92</v>
      </c>
      <c r="G169" s="8">
        <v>50</v>
      </c>
      <c r="H169" s="11" t="s">
        <v>106</v>
      </c>
      <c r="I169" s="11"/>
      <c r="J169" s="11" t="s">
        <v>163</v>
      </c>
      <c r="K169" s="8"/>
      <c r="L169" s="11"/>
      <c r="M169" s="8">
        <v>50</v>
      </c>
      <c r="N169" s="11" t="s">
        <v>251</v>
      </c>
      <c r="O169" s="11"/>
      <c r="P169" s="11"/>
      <c r="Q169" s="11">
        <v>60</v>
      </c>
      <c r="R169" s="11" t="s">
        <v>299</v>
      </c>
      <c r="S169" s="11">
        <v>50</v>
      </c>
      <c r="T169" s="11" t="s">
        <v>329</v>
      </c>
      <c r="U169" s="26">
        <v>85</v>
      </c>
      <c r="V169" s="11" t="s">
        <v>377</v>
      </c>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8">
        <f t="shared" si="5"/>
        <v>52.857142857142854</v>
      </c>
      <c r="BH169" s="12" t="str" cm="1">
        <f t="array" ref="BH169">_xlfn.TEXTJOIN(" ", TRUE, _xlfn._xlws.FILTER(C169:BF169, MOD(COLUMN(C169:BF169)-COLUMN(BJ169),2)=0))</f>
        <v>JUST PARTICIPATION JUST PARTICIPATING DOING GOOD BUT NEED TO CONCENTRATE CLASS CANCELED GOOD IN CONCENTRATION BUT NEED TO FOCUS INTERESTED IN READING ,BUT NEED TO FOCUS IN PARAGRAPH INTERESTED IN TELUGU POERTY,BUT CAN'T FORM A STORY LINE NEED TO BE FOCUSED PREFER TO READ TELUGU STORY BOOKS</v>
      </c>
      <c r="BI169" s="11"/>
      <c r="BJ169" s="11"/>
      <c r="BK169" s="11"/>
      <c r="BL169" s="11"/>
      <c r="BM169" s="11"/>
      <c r="BN169" s="11"/>
    </row>
    <row r="170" spans="1:66" ht="14.35" customHeight="1" x14ac:dyDescent="0.45">
      <c r="A170" s="33"/>
      <c r="B170" s="14" t="s">
        <v>44</v>
      </c>
      <c r="C170" s="8"/>
      <c r="D170" s="11"/>
      <c r="E170" s="8"/>
      <c r="F170" s="11"/>
      <c r="G170" s="8"/>
      <c r="H170" s="11"/>
      <c r="I170" s="11"/>
      <c r="J170" s="11"/>
      <c r="K170" s="11"/>
      <c r="L170" s="11"/>
      <c r="M170" s="8"/>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8" t="str">
        <f t="shared" si="5"/>
        <v/>
      </c>
      <c r="BH170" s="12" t="str" cm="1">
        <f t="array" ref="BH170">_xlfn.TEXTJOIN(" ", TRUE, _xlfn._xlws.FILTER(C170:BF170, MOD(COLUMN(C170:BF170)-COLUMN(BJ170),2)=0))</f>
        <v/>
      </c>
      <c r="BI170" s="11"/>
      <c r="BJ170" s="11"/>
      <c r="BK170" s="11"/>
      <c r="BL170" s="11"/>
      <c r="BM170" s="11"/>
      <c r="BN170" s="11"/>
    </row>
    <row r="171" spans="1:66" ht="14.35" customHeight="1" x14ac:dyDescent="0.45">
      <c r="A171" s="31" t="s">
        <v>66</v>
      </c>
      <c r="B171" s="14" t="s">
        <v>39</v>
      </c>
      <c r="C171" s="8"/>
      <c r="D171" s="11"/>
      <c r="E171" s="8"/>
      <c r="F171" s="11"/>
      <c r="G171" s="8">
        <v>75</v>
      </c>
      <c r="H171" s="11" t="s">
        <v>128</v>
      </c>
      <c r="I171" s="22">
        <v>85</v>
      </c>
      <c r="J171" s="11" t="s">
        <v>222</v>
      </c>
      <c r="K171" s="15">
        <v>65</v>
      </c>
      <c r="L171" s="11" t="s">
        <v>168</v>
      </c>
      <c r="M171" s="17">
        <v>85</v>
      </c>
      <c r="N171" s="11" t="s">
        <v>222</v>
      </c>
      <c r="O171" s="11"/>
      <c r="P171" s="11"/>
      <c r="Q171" s="11"/>
      <c r="R171" s="11"/>
      <c r="S171" s="11"/>
      <c r="T171" s="11"/>
      <c r="U171" s="28">
        <v>95</v>
      </c>
      <c r="V171" s="11" t="s">
        <v>372</v>
      </c>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8">
        <f t="shared" si="5"/>
        <v>81</v>
      </c>
      <c r="BH171" s="12" t="str" cm="1">
        <f t="array" ref="BH171">_xlfn.TEXTJOIN(" ", TRUE, _xlfn._xlws.FILTER(C171:BF171, MOD(COLUMN(C171:BF171)-COLUMN(BJ171),2)=0))</f>
        <v xml:space="preserve">GOOD IN KHO KHO PLAYING WELL SHUTTLE INTERESTED IN BIOLOGY PLAYING WELL SHUTTLE INTERESTED IN THROWBALL,KHOKHO,BADMINTON &amp; RUNNER IN KHABADI </v>
      </c>
      <c r="BI171" s="11"/>
      <c r="BJ171" s="11"/>
      <c r="BK171" s="11"/>
      <c r="BL171" s="11"/>
      <c r="BM171" s="11"/>
      <c r="BN171" s="11"/>
    </row>
    <row r="172" spans="1:66" ht="14.35" customHeight="1" x14ac:dyDescent="0.45">
      <c r="A172" s="32"/>
      <c r="B172" s="14" t="s">
        <v>40</v>
      </c>
      <c r="C172" s="8">
        <v>50</v>
      </c>
      <c r="D172" s="11" t="s">
        <v>104</v>
      </c>
      <c r="E172" s="15">
        <v>65</v>
      </c>
      <c r="F172" s="11" t="s">
        <v>104</v>
      </c>
      <c r="G172" s="8">
        <v>75</v>
      </c>
      <c r="H172" s="11" t="s">
        <v>103</v>
      </c>
      <c r="I172" s="11">
        <v>75</v>
      </c>
      <c r="J172" s="11" t="s">
        <v>223</v>
      </c>
      <c r="K172" s="8">
        <v>75</v>
      </c>
      <c r="L172" s="11" t="s">
        <v>176</v>
      </c>
      <c r="M172" s="8">
        <v>75</v>
      </c>
      <c r="N172" s="11" t="s">
        <v>223</v>
      </c>
      <c r="O172" s="11"/>
      <c r="P172" s="11"/>
      <c r="Q172" s="11"/>
      <c r="R172" s="11"/>
      <c r="S172" s="11"/>
      <c r="T172" s="11"/>
      <c r="U172" s="29">
        <v>80</v>
      </c>
      <c r="V172" s="11" t="s">
        <v>367</v>
      </c>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8">
        <f t="shared" si="5"/>
        <v>70.714285714285708</v>
      </c>
      <c r="BH172" s="12" t="str" cm="1">
        <f t="array" ref="BH172">_xlfn.TEXTJOIN(" ", TRUE, _xlfn._xlws.FILTER(C172:BF172, MOD(COLUMN(C172:BF172)-COLUMN(BJ172),2)=0))</f>
        <v>GOOD IN SHUTTLE GOOD IN SHUTTLE SHOWING INTEREST BUT NEED PRACTICE ANSWERING WELL ACTIVE PARTICEPATION INTERESTED IN KHABADI ANSWERING WELL ACTIVE PARTICEPATION LEARNING BASIC SKILLS LIKE TYPING</v>
      </c>
      <c r="BI172" s="11"/>
      <c r="BJ172" s="11"/>
      <c r="BK172" s="11"/>
      <c r="BL172" s="11"/>
      <c r="BM172" s="11"/>
      <c r="BN172" s="11"/>
    </row>
    <row r="173" spans="1:66" ht="14.35" customHeight="1" x14ac:dyDescent="0.45">
      <c r="A173" s="32"/>
      <c r="B173" s="14" t="s">
        <v>41</v>
      </c>
      <c r="C173" s="8">
        <v>75</v>
      </c>
      <c r="D173" s="11" t="s">
        <v>103</v>
      </c>
      <c r="E173" s="15">
        <v>65</v>
      </c>
      <c r="F173" s="11" t="s">
        <v>129</v>
      </c>
      <c r="G173" s="15">
        <v>65</v>
      </c>
      <c r="H173" s="11" t="s">
        <v>139</v>
      </c>
      <c r="I173" s="11">
        <v>75</v>
      </c>
      <c r="J173" s="11" t="s">
        <v>235</v>
      </c>
      <c r="K173" s="8">
        <v>75</v>
      </c>
      <c r="L173" s="11" t="s">
        <v>170</v>
      </c>
      <c r="M173" s="8">
        <v>75</v>
      </c>
      <c r="N173" s="11" t="s">
        <v>265</v>
      </c>
      <c r="O173" s="11">
        <v>70</v>
      </c>
      <c r="P173" s="11" t="s">
        <v>272</v>
      </c>
      <c r="Q173" s="11"/>
      <c r="R173" s="11"/>
      <c r="S173" s="11"/>
      <c r="T173" s="11"/>
      <c r="U173" s="29">
        <v>80</v>
      </c>
      <c r="V173" s="11" t="s">
        <v>368</v>
      </c>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8">
        <f t="shared" si="5"/>
        <v>72.5</v>
      </c>
      <c r="BH173" s="12" t="str" cm="1">
        <f t="array" ref="BH173">_xlfn.TEXTJOIN(" ", TRUE, _xlfn._xlws.FILTER(C173:BF173, MOD(COLUMN(C173:BF173)-COLUMN(BJ173),2)=0))</f>
        <v>SHOWING INTEREST BUT NEED PRACTICE PERFORMING WELL NEED PRACTISE EVALUATING THE SHADING WELL LAYERING HATCHMARK AT DIFFERENT ANGLES INTERESTED IN TYPING CREATING SMOOTH SOFT EDGES PERFORMING WELL NEED TO CHECK THE CURVES SHOWING PROGRESS IN DRAWING</v>
      </c>
      <c r="BI173" s="11"/>
      <c r="BJ173" s="11"/>
      <c r="BK173" s="11"/>
      <c r="BL173" s="11"/>
      <c r="BM173" s="11"/>
      <c r="BN173" s="11"/>
    </row>
    <row r="174" spans="1:66" ht="14.35" customHeight="1" x14ac:dyDescent="0.45">
      <c r="A174" s="32"/>
      <c r="B174" s="14" t="s">
        <v>42</v>
      </c>
      <c r="C174" s="8">
        <v>50</v>
      </c>
      <c r="D174" s="11" t="s">
        <v>100</v>
      </c>
      <c r="E174" s="8">
        <v>50</v>
      </c>
      <c r="F174" s="11" t="s">
        <v>162</v>
      </c>
      <c r="G174" s="8">
        <v>50</v>
      </c>
      <c r="H174" s="11" t="s">
        <v>100</v>
      </c>
      <c r="I174" s="11"/>
      <c r="J174" s="11" t="s">
        <v>163</v>
      </c>
      <c r="K174" s="8">
        <v>75</v>
      </c>
      <c r="L174" s="11" t="s">
        <v>196</v>
      </c>
      <c r="M174" s="8">
        <v>50</v>
      </c>
      <c r="N174" s="11" t="s">
        <v>100</v>
      </c>
      <c r="O174" s="11"/>
      <c r="P174" s="11"/>
      <c r="Q174" s="11"/>
      <c r="R174" s="11"/>
      <c r="S174" s="11"/>
      <c r="T174" s="11"/>
      <c r="U174" s="26">
        <v>85</v>
      </c>
      <c r="V174" s="11" t="s">
        <v>373</v>
      </c>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8">
        <f t="shared" si="5"/>
        <v>60</v>
      </c>
      <c r="BH174" s="12" t="str" cm="1">
        <f t="array" ref="BH174">_xlfn.TEXTJOIN(" ", TRUE, _xlfn._xlws.FILTER(C174:BF174, MOD(COLUMN(C174:BF174)-COLUMN(BJ174),2)=0))</f>
        <v>AVERAGE PARTCIPATION TRYING TO SIMPLFY THE DRAWING AVERAGE PARTCIPATION CLASS CANCELED INTERESTED IN FLOWERS PICTURES DRAWINGS AVERAGE PARTCIPATION PREFER TELUGU STORY BOOKS TO READ</v>
      </c>
      <c r="BI174" s="11"/>
      <c r="BJ174" s="11"/>
      <c r="BK174" s="11"/>
      <c r="BL174" s="11"/>
      <c r="BM174" s="11"/>
      <c r="BN174" s="11"/>
    </row>
    <row r="175" spans="1:66" ht="14.35" customHeight="1" x14ac:dyDescent="0.45">
      <c r="A175" s="32"/>
      <c r="B175" s="14" t="s">
        <v>43</v>
      </c>
      <c r="C175" s="8">
        <v>50</v>
      </c>
      <c r="D175" s="11" t="s">
        <v>80</v>
      </c>
      <c r="E175" s="8">
        <v>25</v>
      </c>
      <c r="F175" s="11" t="s">
        <v>92</v>
      </c>
      <c r="G175" s="8"/>
      <c r="H175" s="11"/>
      <c r="I175" s="11"/>
      <c r="J175" s="11"/>
      <c r="K175" s="15">
        <v>65</v>
      </c>
      <c r="L175" s="11" t="s">
        <v>178</v>
      </c>
      <c r="M175" s="8"/>
      <c r="N175" s="11"/>
      <c r="O175" s="11"/>
      <c r="P175" s="11"/>
      <c r="Q175" s="11">
        <v>65</v>
      </c>
      <c r="R175" s="11" t="s">
        <v>334</v>
      </c>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8">
        <f t="shared" si="5"/>
        <v>51.25</v>
      </c>
      <c r="BH175" s="12" t="str" cm="1">
        <f t="array" ref="BH175">_xlfn.TEXTJOIN(" ", TRUE, _xlfn._xlws.FILTER(C175:BF175, MOD(COLUMN(C175:BF175)-COLUMN(BJ175),2)=0))</f>
        <v>JUST PARTICIPATION NEED TO IMPROVE JUST PARTICIPATING INTERESTED IN STORY BOOKS INRERESED IN MORAL STORIES,CLEAR AND CLARITY IN READING,NEED TO IMPROVE VOCABULARY</v>
      </c>
      <c r="BI175" s="11"/>
      <c r="BJ175" s="11"/>
      <c r="BK175" s="11"/>
      <c r="BL175" s="11"/>
      <c r="BM175" s="11"/>
      <c r="BN175" s="11"/>
    </row>
    <row r="176" spans="1:66" ht="14.35" customHeight="1" x14ac:dyDescent="0.45">
      <c r="A176" s="33"/>
      <c r="B176" s="14" t="s">
        <v>44</v>
      </c>
      <c r="C176" s="8"/>
      <c r="D176" s="11"/>
      <c r="E176" s="8"/>
      <c r="F176" s="11"/>
      <c r="G176" s="8"/>
      <c r="H176" s="11"/>
      <c r="I176" s="11"/>
      <c r="J176" s="11"/>
      <c r="K176" s="11"/>
      <c r="L176" s="11"/>
      <c r="M176" s="8"/>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8" t="str">
        <f t="shared" si="5"/>
        <v/>
      </c>
      <c r="BH176" s="12" t="str" cm="1">
        <f t="array" ref="BH176">_xlfn.TEXTJOIN(" ", TRUE, _xlfn._xlws.FILTER(C176:BF176, MOD(COLUMN(C176:BF176)-COLUMN(BJ176),2)=0))</f>
        <v/>
      </c>
      <c r="BI176" s="11"/>
      <c r="BJ176" s="11"/>
      <c r="BK176" s="11"/>
      <c r="BL176" s="11"/>
      <c r="BM176" s="11"/>
      <c r="BN176" s="11"/>
    </row>
    <row r="177" spans="1:66" ht="14.35" customHeight="1" x14ac:dyDescent="0.45">
      <c r="A177" s="31" t="s">
        <v>67</v>
      </c>
      <c r="B177" s="14" t="s">
        <v>39</v>
      </c>
      <c r="C177" s="8"/>
      <c r="D177" s="11"/>
      <c r="E177" s="8"/>
      <c r="F177" s="11"/>
      <c r="G177" s="8"/>
      <c r="H177" s="11"/>
      <c r="I177" s="11"/>
      <c r="J177" s="11"/>
      <c r="K177" s="15">
        <v>65</v>
      </c>
      <c r="L177" s="11" t="s">
        <v>173</v>
      </c>
      <c r="M177" s="8"/>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8">
        <f t="shared" si="5"/>
        <v>65</v>
      </c>
      <c r="BH177" s="12" t="str" cm="1">
        <f t="array" ref="BH177">_xlfn.TEXTJOIN(" ", TRUE, _xlfn._xlws.FILTER(C177:BF177, MOD(COLUMN(C177:BF177)-COLUMN(BJ177),2)=0))</f>
        <v>INTERESTED IN HINDI</v>
      </c>
      <c r="BI177" s="11"/>
      <c r="BJ177" s="11"/>
      <c r="BK177" s="11"/>
      <c r="BL177" s="11"/>
      <c r="BM177" s="11"/>
      <c r="BN177" s="11"/>
    </row>
    <row r="178" spans="1:66" ht="14.35" customHeight="1" x14ac:dyDescent="0.45">
      <c r="A178" s="32"/>
      <c r="B178" s="14" t="s">
        <v>40</v>
      </c>
      <c r="C178" s="8">
        <v>50</v>
      </c>
      <c r="D178" s="11" t="s">
        <v>104</v>
      </c>
      <c r="E178" s="15">
        <v>65</v>
      </c>
      <c r="F178" s="11" t="s">
        <v>104</v>
      </c>
      <c r="G178" s="8">
        <v>75</v>
      </c>
      <c r="H178" s="11" t="s">
        <v>128</v>
      </c>
      <c r="I178" s="22">
        <v>85</v>
      </c>
      <c r="J178" s="11" t="s">
        <v>222</v>
      </c>
      <c r="K178" s="15">
        <v>65</v>
      </c>
      <c r="L178" s="11" t="s">
        <v>183</v>
      </c>
      <c r="M178" s="17">
        <v>85</v>
      </c>
      <c r="N178" s="11" t="s">
        <v>222</v>
      </c>
      <c r="O178" s="11"/>
      <c r="P178" s="11"/>
      <c r="Q178" s="11"/>
      <c r="R178" s="11"/>
      <c r="S178" s="11"/>
      <c r="T178" s="11"/>
      <c r="U178" s="27">
        <v>90</v>
      </c>
      <c r="V178" s="11" t="s">
        <v>366</v>
      </c>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8">
        <f t="shared" si="5"/>
        <v>73.571428571428569</v>
      </c>
      <c r="BH178" s="12" t="str" cm="1">
        <f t="array" ref="BH178">_xlfn.TEXTJOIN(" ", TRUE, _xlfn._xlws.FILTER(C178:BF178, MOD(COLUMN(C178:BF178)-COLUMN(BJ178),2)=0))</f>
        <v>GOOD IN SHUTTLE GOOD IN SHUTTLE GOOD IN KHO KHO PLAYING WELL SHUTTLE INTERESTED IN CRICKET PLAYING WELL SHUTTLE INTERESTED IN PLAYING THROWBALL,KHABADI</v>
      </c>
      <c r="BI178" s="11"/>
      <c r="BJ178" s="11"/>
      <c r="BK178" s="11"/>
      <c r="BL178" s="11"/>
      <c r="BM178" s="11"/>
      <c r="BN178" s="11"/>
    </row>
    <row r="179" spans="1:66" ht="14.35" customHeight="1" x14ac:dyDescent="0.45">
      <c r="A179" s="32"/>
      <c r="B179" s="14" t="s">
        <v>41</v>
      </c>
      <c r="C179" s="8">
        <v>75</v>
      </c>
      <c r="D179" s="11" t="s">
        <v>103</v>
      </c>
      <c r="E179" s="15">
        <v>65</v>
      </c>
      <c r="F179" s="11" t="s">
        <v>129</v>
      </c>
      <c r="G179" s="8">
        <v>75</v>
      </c>
      <c r="H179" s="11" t="s">
        <v>103</v>
      </c>
      <c r="I179" s="11">
        <v>75</v>
      </c>
      <c r="J179" s="11" t="s">
        <v>223</v>
      </c>
      <c r="K179" s="15">
        <v>65</v>
      </c>
      <c r="L179" s="11" t="s">
        <v>170</v>
      </c>
      <c r="M179" s="8">
        <v>75</v>
      </c>
      <c r="N179" s="11" t="s">
        <v>223</v>
      </c>
      <c r="O179" s="11"/>
      <c r="P179" s="11"/>
      <c r="Q179" s="11"/>
      <c r="R179" s="11"/>
      <c r="S179" s="11"/>
      <c r="T179" s="11"/>
      <c r="U179" s="29">
        <v>80</v>
      </c>
      <c r="V179" s="11" t="s">
        <v>367</v>
      </c>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8">
        <f t="shared" si="5"/>
        <v>72.857142857142861</v>
      </c>
      <c r="BH179" s="12" t="str" cm="1">
        <f t="array" ref="BH179">_xlfn.TEXTJOIN(" ", TRUE, _xlfn._xlws.FILTER(C179:BF179, MOD(COLUMN(C179:BF179)-COLUMN(BJ179),2)=0))</f>
        <v>SHOWING INTEREST BUT NEED PRACTICE PERFORMING WELL NEED PRACTISE SHOWING INTEREST BUT NEED PRACTICE ANSWERING WELL ACTIVE PARTICEPATION INTERESTED IN TYPING ANSWERING WELL ACTIVE PARTICEPATION LEARNING BASIC SKILLS LIKE TYPING</v>
      </c>
      <c r="BI179" s="11"/>
      <c r="BJ179" s="11"/>
      <c r="BK179" s="11"/>
      <c r="BL179" s="11"/>
      <c r="BM179" s="11"/>
      <c r="BN179" s="11"/>
    </row>
    <row r="180" spans="1:66" ht="14.35" customHeight="1" x14ac:dyDescent="0.45">
      <c r="A180" s="32"/>
      <c r="B180" s="14" t="s">
        <v>42</v>
      </c>
      <c r="C180" s="8">
        <v>50</v>
      </c>
      <c r="D180" s="11" t="s">
        <v>100</v>
      </c>
      <c r="E180" s="8">
        <v>50</v>
      </c>
      <c r="F180" s="11" t="s">
        <v>140</v>
      </c>
      <c r="G180" s="15">
        <v>65</v>
      </c>
      <c r="H180" s="11" t="s">
        <v>159</v>
      </c>
      <c r="I180" s="11">
        <v>75</v>
      </c>
      <c r="J180" s="11" t="s">
        <v>234</v>
      </c>
      <c r="K180" s="8"/>
      <c r="L180" s="11"/>
      <c r="M180" s="8">
        <v>70</v>
      </c>
      <c r="N180" s="11" t="s">
        <v>146</v>
      </c>
      <c r="O180" s="11">
        <v>75</v>
      </c>
      <c r="P180" s="11" t="s">
        <v>288</v>
      </c>
      <c r="Q180" s="11"/>
      <c r="R180" s="11"/>
      <c r="S180" s="11"/>
      <c r="T180" s="11"/>
      <c r="U180" s="29">
        <v>80</v>
      </c>
      <c r="V180" s="11" t="s">
        <v>368</v>
      </c>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8">
        <f t="shared" si="5"/>
        <v>66.428571428571431</v>
      </c>
      <c r="BH180" s="12" t="str" cm="1">
        <f t="array" ref="BH180">_xlfn.TEXTJOIN(" ", TRUE, _xlfn._xlws.FILTER(C180:BF180, MOD(COLUMN(C180:BF180)-COLUMN(BJ180),2)=0))</f>
        <v>AVERAGE PARTCIPATION GOOD IN SHADING CAN IMPROVE GOOD IN SMOOTH OUT PENCIL STROKES DEVELOPING VOLUME AND DEPTH IN THE WORK GOOD IN VISUAL COMPONENTS CREATING THE DIMENSIONAL DEPTH ON THE SURFACE SHOWING PROGRESS IN DRAWING</v>
      </c>
      <c r="BI180" s="11"/>
      <c r="BJ180" s="11"/>
      <c r="BK180" s="11"/>
      <c r="BL180" s="11"/>
      <c r="BM180" s="11"/>
      <c r="BN180" s="11"/>
    </row>
    <row r="181" spans="1:66" ht="14.35" customHeight="1" x14ac:dyDescent="0.45">
      <c r="A181" s="32"/>
      <c r="B181" s="14" t="s">
        <v>43</v>
      </c>
      <c r="C181" s="8">
        <v>50</v>
      </c>
      <c r="D181" s="11" t="s">
        <v>75</v>
      </c>
      <c r="E181" s="8">
        <v>50</v>
      </c>
      <c r="F181" s="11" t="s">
        <v>115</v>
      </c>
      <c r="G181" s="8">
        <v>50</v>
      </c>
      <c r="H181" s="11" t="s">
        <v>106</v>
      </c>
      <c r="I181" s="11"/>
      <c r="J181" s="11" t="s">
        <v>163</v>
      </c>
      <c r="K181" s="8">
        <v>75</v>
      </c>
      <c r="L181" s="11" t="s">
        <v>195</v>
      </c>
      <c r="M181" s="8">
        <v>50</v>
      </c>
      <c r="N181" s="11" t="s">
        <v>100</v>
      </c>
      <c r="O181" s="11"/>
      <c r="P181" s="11"/>
      <c r="Q181" s="11">
        <v>55</v>
      </c>
      <c r="R181" s="11" t="s">
        <v>296</v>
      </c>
      <c r="S181" s="11"/>
      <c r="T181" s="11"/>
      <c r="U181" s="29">
        <v>80</v>
      </c>
      <c r="V181" s="11" t="s">
        <v>369</v>
      </c>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8">
        <f t="shared" si="5"/>
        <v>58.571428571428569</v>
      </c>
      <c r="BH181" s="12" t="str" cm="1">
        <f t="array" ref="BH181">_xlfn.TEXTJOIN(" ", TRUE, _xlfn._xlws.FILTER(C181:BF181, MOD(COLUMN(C181:BF181)-COLUMN(BJ181),2)=0))</f>
        <v>JUST PARTICIPATION NEED TO IMPROVE MORE DOING GOOD BUT NEED TO CONCENTRATE CLASS CANCELED INTERESTED IN MORAL STORY BOOKS AVERAGE PARTCIPATION AVERAGE PERFORFMANCE PREFER TO READ MORAL STORIES</v>
      </c>
      <c r="BI181" s="11"/>
      <c r="BJ181" s="11"/>
      <c r="BK181" s="11"/>
      <c r="BL181" s="11"/>
      <c r="BM181" s="11"/>
      <c r="BN181" s="11"/>
    </row>
    <row r="182" spans="1:66" ht="14.35" customHeight="1" x14ac:dyDescent="0.45">
      <c r="A182" s="33"/>
      <c r="B182" s="14" t="s">
        <v>44</v>
      </c>
      <c r="C182" s="8"/>
      <c r="D182" s="11"/>
      <c r="E182" s="8"/>
      <c r="F182" s="11"/>
      <c r="G182" s="8"/>
      <c r="H182" s="11"/>
      <c r="I182" s="11"/>
      <c r="J182" s="11"/>
      <c r="K182" s="11"/>
      <c r="L182" s="11"/>
      <c r="M182" s="8"/>
      <c r="N182" s="11"/>
      <c r="O182" s="11"/>
      <c r="P182" s="11"/>
      <c r="Q182" s="11"/>
      <c r="R182" s="11"/>
      <c r="S182" s="11">
        <v>60</v>
      </c>
      <c r="T182" s="11" t="s">
        <v>333</v>
      </c>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8">
        <f t="shared" si="5"/>
        <v>60</v>
      </c>
      <c r="BH182" s="12" t="str" cm="1">
        <f t="array" ref="BH182">_xlfn.TEXTJOIN(" ", TRUE, _xlfn._xlws.FILTER(C182:BF182, MOD(COLUMN(C182:BF182)-COLUMN(BJ182),2)=0))</f>
        <v>GOOD AT VOCABULARY,CAN' FORM A LINE&amp;BUILD UP STORY,FOCUSED AT READING</v>
      </c>
      <c r="BI182" s="11"/>
      <c r="BJ182" s="11"/>
      <c r="BK182" s="11"/>
      <c r="BL182" s="11"/>
      <c r="BM182" s="11"/>
      <c r="BN182" s="11"/>
    </row>
    <row r="183" spans="1:66" ht="14.35" customHeight="1" x14ac:dyDescent="0.45">
      <c r="A183" s="31" t="s">
        <v>166</v>
      </c>
      <c r="B183" s="14" t="s">
        <v>39</v>
      </c>
      <c r="C183" s="8"/>
      <c r="D183" s="11"/>
      <c r="E183" s="8"/>
      <c r="F183" s="11"/>
      <c r="G183" s="8"/>
      <c r="H183" s="11"/>
      <c r="I183" s="11"/>
      <c r="J183" s="11"/>
      <c r="K183" s="11" t="s">
        <v>82</v>
      </c>
      <c r="L183" s="11" t="s">
        <v>82</v>
      </c>
      <c r="M183" s="8"/>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8" t="str">
        <f t="shared" si="5"/>
        <v/>
      </c>
      <c r="BH183" s="12" t="str" cm="1">
        <f t="array" ref="BH183">_xlfn.TEXTJOIN(" ", TRUE, _xlfn._xlws.FILTER(C183:BF183, MOD(COLUMN(C183:BF183)-COLUMN(BJ183),2)=0))</f>
        <v>AB</v>
      </c>
      <c r="BI183" s="11"/>
      <c r="BJ183" s="11"/>
      <c r="BK183" s="11"/>
      <c r="BL183" s="11"/>
      <c r="BM183" s="11"/>
      <c r="BN183" s="11"/>
    </row>
    <row r="184" spans="1:66" ht="14.35" customHeight="1" x14ac:dyDescent="0.45">
      <c r="A184" s="32"/>
      <c r="B184" s="14" t="s">
        <v>40</v>
      </c>
      <c r="C184" s="8">
        <v>50</v>
      </c>
      <c r="D184" s="11" t="s">
        <v>104</v>
      </c>
      <c r="E184" s="15">
        <v>65</v>
      </c>
      <c r="F184" s="11" t="s">
        <v>104</v>
      </c>
      <c r="G184" s="8">
        <v>75</v>
      </c>
      <c r="H184" s="11" t="s">
        <v>128</v>
      </c>
      <c r="I184" s="22">
        <v>85</v>
      </c>
      <c r="J184" s="11" t="s">
        <v>222</v>
      </c>
      <c r="K184" s="11"/>
      <c r="L184" s="11"/>
      <c r="M184" s="17">
        <v>85</v>
      </c>
      <c r="N184" s="11" t="s">
        <v>222</v>
      </c>
      <c r="O184" s="11"/>
      <c r="P184" s="11"/>
      <c r="Q184" s="11"/>
      <c r="R184" s="11"/>
      <c r="S184" s="11"/>
      <c r="T184" s="11"/>
      <c r="U184" s="27">
        <v>90</v>
      </c>
      <c r="V184" s="11" t="s">
        <v>366</v>
      </c>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8">
        <f t="shared" si="5"/>
        <v>75</v>
      </c>
      <c r="BH184" s="12" t="str" cm="1">
        <f t="array" ref="BH184">_xlfn.TEXTJOIN(" ", TRUE, _xlfn._xlws.FILTER(C184:BF184, MOD(COLUMN(C184:BF184)-COLUMN(BJ184),2)=0))</f>
        <v>GOOD IN SHUTTLE GOOD IN SHUTTLE GOOD IN KHO KHO PLAYING WELL SHUTTLE PLAYING WELL SHUTTLE INTERESTED IN PLAYING THROWBALL,KHABADI</v>
      </c>
      <c r="BI184" s="11"/>
      <c r="BJ184" s="11"/>
      <c r="BK184" s="11"/>
      <c r="BL184" s="11"/>
      <c r="BM184" s="11"/>
      <c r="BN184" s="11"/>
    </row>
    <row r="185" spans="1:66" ht="14.35" customHeight="1" x14ac:dyDescent="0.45">
      <c r="A185" s="32"/>
      <c r="B185" s="14" t="s">
        <v>41</v>
      </c>
      <c r="C185" s="8">
        <v>75</v>
      </c>
      <c r="D185" s="11" t="s">
        <v>103</v>
      </c>
      <c r="E185" s="15">
        <v>65</v>
      </c>
      <c r="F185" s="11" t="s">
        <v>129</v>
      </c>
      <c r="G185" s="8">
        <v>75</v>
      </c>
      <c r="H185" s="11" t="s">
        <v>103</v>
      </c>
      <c r="I185" s="11">
        <v>75</v>
      </c>
      <c r="J185" s="11" t="s">
        <v>223</v>
      </c>
      <c r="K185" s="11"/>
      <c r="L185" s="11"/>
      <c r="M185" s="8">
        <v>75</v>
      </c>
      <c r="N185" s="11" t="s">
        <v>223</v>
      </c>
      <c r="O185" s="11"/>
      <c r="P185" s="11"/>
      <c r="Q185" s="11"/>
      <c r="R185" s="11"/>
      <c r="S185" s="11"/>
      <c r="T185" s="11"/>
      <c r="U185" s="29">
        <v>80</v>
      </c>
      <c r="V185" s="11" t="s">
        <v>367</v>
      </c>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8">
        <f t="shared" si="5"/>
        <v>74.166666666666671</v>
      </c>
      <c r="BH185" s="12" t="str" cm="1">
        <f t="array" ref="BH185">_xlfn.TEXTJOIN(" ", TRUE, _xlfn._xlws.FILTER(C185:BF185, MOD(COLUMN(C185:BF185)-COLUMN(BJ185),2)=0))</f>
        <v>SHOWING INTEREST BUT NEED PRACTICE PERFORMING WELL NEED PRACTISE SHOWING INTEREST BUT NEED PRACTICE ANSWERING WELL ACTIVE PARTICEPATION ANSWERING WELL ACTIVE PARTICEPATION LEARNING BASIC SKILLS LIKE TYPING</v>
      </c>
      <c r="BI185" s="11"/>
      <c r="BJ185" s="11"/>
      <c r="BK185" s="11"/>
      <c r="BL185" s="11"/>
      <c r="BM185" s="11"/>
      <c r="BN185" s="11"/>
    </row>
    <row r="186" spans="1:66" ht="14.35" customHeight="1" x14ac:dyDescent="0.45">
      <c r="A186" s="32"/>
      <c r="B186" s="14" t="s">
        <v>42</v>
      </c>
      <c r="C186" s="8">
        <v>50</v>
      </c>
      <c r="D186" s="11" t="s">
        <v>100</v>
      </c>
      <c r="E186" s="8" t="s">
        <v>82</v>
      </c>
      <c r="F186" s="11" t="s">
        <v>83</v>
      </c>
      <c r="G186" s="15">
        <v>65</v>
      </c>
      <c r="H186" s="11" t="s">
        <v>137</v>
      </c>
      <c r="I186" s="11">
        <v>75</v>
      </c>
      <c r="J186" s="11" t="s">
        <v>233</v>
      </c>
      <c r="K186" s="11"/>
      <c r="L186" s="11"/>
      <c r="M186" s="8">
        <v>75</v>
      </c>
      <c r="N186" s="11" t="s">
        <v>263</v>
      </c>
      <c r="O186" s="11">
        <v>70</v>
      </c>
      <c r="P186" s="11" t="s">
        <v>287</v>
      </c>
      <c r="Q186" s="11"/>
      <c r="R186" s="11"/>
      <c r="S186" s="11"/>
      <c r="T186" s="11"/>
      <c r="U186" s="29">
        <v>80</v>
      </c>
      <c r="V186" s="11" t="s">
        <v>368</v>
      </c>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8">
        <f t="shared" si="5"/>
        <v>69.166666666666671</v>
      </c>
      <c r="BH186" s="12" t="str" cm="1">
        <f t="array" ref="BH186">_xlfn.TEXTJOIN(" ", TRUE, _xlfn._xlws.FILTER(C186:BF186, MOD(COLUMN(C186:BF186)-COLUMN(BJ186),2)=0))</f>
        <v>AVERAGE PARTCIPATION ABSENT SIMPLIFYING THE CONTOUR WELL HIGHLIGHTING THE CORE SHADOW DEPICTING THE RANGE OF THE VALUE OF THE FIGURE NEED TO REDUCE THE PRESSURE OF THE PENCIL SHOWING PROGRESS IN DRAWING</v>
      </c>
      <c r="BI186" s="11"/>
      <c r="BJ186" s="11"/>
      <c r="BK186" s="11"/>
      <c r="BL186" s="11"/>
      <c r="BM186" s="11"/>
      <c r="BN186" s="11"/>
    </row>
    <row r="187" spans="1:66" ht="14.35" customHeight="1" x14ac:dyDescent="0.45">
      <c r="A187" s="32"/>
      <c r="B187" s="14" t="s">
        <v>43</v>
      </c>
      <c r="C187" s="8">
        <v>50</v>
      </c>
      <c r="D187" s="11" t="s">
        <v>76</v>
      </c>
      <c r="E187" s="8">
        <v>50</v>
      </c>
      <c r="F187" s="11" t="s">
        <v>118</v>
      </c>
      <c r="G187" s="8">
        <v>25</v>
      </c>
      <c r="H187" s="11" t="s">
        <v>121</v>
      </c>
      <c r="I187" s="11"/>
      <c r="J187" s="11"/>
      <c r="K187" s="11"/>
      <c r="L187" s="11"/>
      <c r="M187" s="8">
        <v>50</v>
      </c>
      <c r="N187" s="11" t="s">
        <v>250</v>
      </c>
      <c r="O187" s="11"/>
      <c r="P187" s="11"/>
      <c r="Q187" s="11">
        <v>55</v>
      </c>
      <c r="R187" s="11" t="s">
        <v>306</v>
      </c>
      <c r="S187" s="11"/>
      <c r="T187" s="11"/>
      <c r="U187" s="29">
        <v>80</v>
      </c>
      <c r="V187" s="11" t="s">
        <v>380</v>
      </c>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8">
        <f t="shared" si="5"/>
        <v>51.666666666666664</v>
      </c>
      <c r="BH187" s="12" t="str" cm="1">
        <f t="array" ref="BH187">_xlfn.TEXTJOIN(" ", TRUE, _xlfn._xlws.FILTER(C187:BF187, MOD(COLUMN(C187:BF187)-COLUMN(BJ187),2)=0))</f>
        <v xml:space="preserve">AVERAGE PARTICIPATION AVERAGE PERFORMANCE NEAUTRAL PARTCIPATION GOOD IN READING BUT NEED TO FOCUS INTERESTED IN (COMIC) STORIES,NEED TO FOCUS                                                                                                                                                       PREFER TO READ HORROR STORIES </v>
      </c>
      <c r="BI187" s="11"/>
      <c r="BJ187" s="11"/>
      <c r="BK187" s="11"/>
      <c r="BL187" s="11"/>
      <c r="BM187" s="11"/>
      <c r="BN187" s="11"/>
    </row>
    <row r="188" spans="1:66" ht="14.35" customHeight="1" x14ac:dyDescent="0.45">
      <c r="A188" s="33"/>
      <c r="B188" s="14" t="s">
        <v>44</v>
      </c>
      <c r="C188" s="8"/>
      <c r="D188" s="11"/>
      <c r="E188" s="8"/>
      <c r="F188" s="11"/>
      <c r="G188" s="8"/>
      <c r="H188" s="11"/>
      <c r="I188" s="11"/>
      <c r="J188" s="11" t="s">
        <v>163</v>
      </c>
      <c r="K188" s="11"/>
      <c r="L188" s="11"/>
      <c r="M188" s="8"/>
      <c r="N188" s="11"/>
      <c r="O188" s="11"/>
      <c r="P188" s="11"/>
      <c r="Q188" s="11"/>
      <c r="R188" s="11"/>
      <c r="S188" s="11" t="s">
        <v>82</v>
      </c>
      <c r="T188" s="11" t="s">
        <v>82</v>
      </c>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8" t="str">
        <f t="shared" si="5"/>
        <v/>
      </c>
      <c r="BH188" s="12" t="str" cm="1">
        <f t="array" ref="BH188">_xlfn.TEXTJOIN(" ", TRUE, _xlfn._xlws.FILTER(C188:BF188, MOD(COLUMN(C188:BF188)-COLUMN(BJ188),2)=0))</f>
        <v>CLASS CANCELED AB</v>
      </c>
      <c r="BI188" s="11"/>
      <c r="BJ188" s="11"/>
      <c r="BK188" s="11"/>
      <c r="BL188" s="11"/>
      <c r="BM188" s="11"/>
      <c r="BN188" s="11"/>
    </row>
    <row r="189" spans="1:66" ht="14.35" customHeight="1" x14ac:dyDescent="0.45">
      <c r="A189" s="31" t="s">
        <v>68</v>
      </c>
      <c r="B189" s="14" t="s">
        <v>39</v>
      </c>
      <c r="C189" s="8"/>
      <c r="D189" s="11"/>
      <c r="E189" s="8"/>
      <c r="F189" s="11"/>
      <c r="G189" s="8"/>
      <c r="H189" s="11"/>
      <c r="I189" s="11"/>
      <c r="J189" s="11"/>
      <c r="K189" s="15">
        <v>65</v>
      </c>
      <c r="L189" s="11" t="s">
        <v>175</v>
      </c>
      <c r="M189" s="8"/>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8">
        <f t="shared" si="5"/>
        <v>65</v>
      </c>
      <c r="BH189" s="12" t="str" cm="1">
        <f t="array" ref="BH189">_xlfn.TEXTJOIN(" ", TRUE, _xlfn._xlws.FILTER(C189:BF189, MOD(COLUMN(C189:BF189)-COLUMN(BJ189),2)=0))</f>
        <v>INTERESTED IN TELUGU</v>
      </c>
      <c r="BI189" s="11"/>
      <c r="BJ189" s="11"/>
      <c r="BK189" s="11"/>
      <c r="BL189" s="11"/>
      <c r="BM189" s="11"/>
      <c r="BN189" s="11"/>
    </row>
    <row r="190" spans="1:66" ht="14.35" customHeight="1" x14ac:dyDescent="0.45">
      <c r="A190" s="32"/>
      <c r="B190" s="14" t="s">
        <v>40</v>
      </c>
      <c r="C190" s="8">
        <v>50</v>
      </c>
      <c r="D190" s="11" t="s">
        <v>104</v>
      </c>
      <c r="E190" s="15">
        <v>65</v>
      </c>
      <c r="F190" s="11" t="s">
        <v>104</v>
      </c>
      <c r="G190" s="8">
        <v>75</v>
      </c>
      <c r="H190" s="11" t="s">
        <v>128</v>
      </c>
      <c r="I190" s="22">
        <v>85</v>
      </c>
      <c r="J190" s="11" t="s">
        <v>222</v>
      </c>
      <c r="K190" s="8">
        <v>75</v>
      </c>
      <c r="L190" s="11" t="s">
        <v>176</v>
      </c>
      <c r="M190" s="17">
        <v>85</v>
      </c>
      <c r="N190" s="11" t="s">
        <v>222</v>
      </c>
      <c r="O190" s="11"/>
      <c r="P190" s="11"/>
      <c r="Q190" s="11"/>
      <c r="R190" s="11"/>
      <c r="S190" s="11"/>
      <c r="T190" s="11"/>
      <c r="U190" s="27">
        <v>90</v>
      </c>
      <c r="V190" s="11" t="s">
        <v>366</v>
      </c>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8">
        <f t="shared" si="5"/>
        <v>75</v>
      </c>
      <c r="BH190" s="12" t="str" cm="1">
        <f t="array" ref="BH190">_xlfn.TEXTJOIN(" ", TRUE, _xlfn._xlws.FILTER(C190:BF190, MOD(COLUMN(C190:BF190)-COLUMN(BJ190),2)=0))</f>
        <v>GOOD IN SHUTTLE GOOD IN SHUTTLE GOOD IN KHO KHO PLAYING WELL SHUTTLE INTERESTED IN KHABADI PLAYING WELL SHUTTLE INTERESTED IN PLAYING THROWBALL,KHABADI</v>
      </c>
      <c r="BI190" s="11"/>
      <c r="BJ190" s="11"/>
      <c r="BK190" s="11"/>
      <c r="BL190" s="11"/>
      <c r="BM190" s="11"/>
      <c r="BN190" s="11"/>
    </row>
    <row r="191" spans="1:66" ht="14.35" customHeight="1" x14ac:dyDescent="0.45">
      <c r="A191" s="32"/>
      <c r="B191" s="14" t="s">
        <v>41</v>
      </c>
      <c r="C191" s="8">
        <v>75</v>
      </c>
      <c r="D191" s="11" t="s">
        <v>103</v>
      </c>
      <c r="E191" s="15">
        <v>65</v>
      </c>
      <c r="F191" s="11" t="s">
        <v>129</v>
      </c>
      <c r="G191" s="8">
        <v>75</v>
      </c>
      <c r="H191" s="11" t="s">
        <v>103</v>
      </c>
      <c r="I191" s="11">
        <v>75</v>
      </c>
      <c r="J191" s="11" t="s">
        <v>223</v>
      </c>
      <c r="K191" s="8"/>
      <c r="L191" s="11"/>
      <c r="M191" s="8">
        <v>75</v>
      </c>
      <c r="N191" s="11" t="s">
        <v>223</v>
      </c>
      <c r="O191" s="11"/>
      <c r="P191" s="11"/>
      <c r="Q191" s="11"/>
      <c r="R191" s="11"/>
      <c r="S191" s="11"/>
      <c r="T191" s="11"/>
      <c r="U191" s="29">
        <v>80</v>
      </c>
      <c r="V191" s="11" t="s">
        <v>367</v>
      </c>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8">
        <f t="shared" si="5"/>
        <v>74.166666666666671</v>
      </c>
      <c r="BH191" s="12" t="str" cm="1">
        <f t="array" ref="BH191">_xlfn.TEXTJOIN(" ", TRUE, _xlfn._xlws.FILTER(C191:BF191, MOD(COLUMN(C191:BF191)-COLUMN(BJ191),2)=0))</f>
        <v>SHOWING INTEREST BUT NEED PRACTICE PERFORMING WELL NEED PRACTISE SHOWING INTEREST BUT NEED PRACTICE ANSWERING WELL ACTIVE PARTICEPATION ANSWERING WELL ACTIVE PARTICEPATION LEARNING BASIC SKILLS LIKE TYPING</v>
      </c>
      <c r="BI191" s="11"/>
      <c r="BJ191" s="11"/>
      <c r="BK191" s="11"/>
      <c r="BL191" s="11"/>
      <c r="BM191" s="11"/>
      <c r="BN191" s="11"/>
    </row>
    <row r="192" spans="1:66" ht="14.35" customHeight="1" x14ac:dyDescent="0.45">
      <c r="A192" s="32"/>
      <c r="B192" s="14" t="s">
        <v>42</v>
      </c>
      <c r="C192" s="8">
        <v>75</v>
      </c>
      <c r="D192" s="11" t="s">
        <v>93</v>
      </c>
      <c r="E192" s="8">
        <v>75</v>
      </c>
      <c r="F192" s="11" t="s">
        <v>158</v>
      </c>
      <c r="G192" s="15">
        <v>65</v>
      </c>
      <c r="H192" s="11" t="s">
        <v>139</v>
      </c>
      <c r="I192" s="22">
        <v>85</v>
      </c>
      <c r="J192" s="11" t="s">
        <v>232</v>
      </c>
      <c r="K192" s="8">
        <v>75</v>
      </c>
      <c r="L192" s="11" t="s">
        <v>177</v>
      </c>
      <c r="M192" s="8">
        <v>70</v>
      </c>
      <c r="N192" s="11" t="s">
        <v>262</v>
      </c>
      <c r="O192" s="11">
        <v>75</v>
      </c>
      <c r="P192" s="11" t="s">
        <v>286</v>
      </c>
      <c r="Q192" s="11"/>
      <c r="R192" s="11"/>
      <c r="S192" s="11"/>
      <c r="T192" s="11"/>
      <c r="U192" s="29">
        <v>80</v>
      </c>
      <c r="V192" s="11" t="s">
        <v>368</v>
      </c>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8">
        <f t="shared" si="5"/>
        <v>75</v>
      </c>
      <c r="BH192" s="12" t="str" cm="1">
        <f t="array" ref="BH192">_xlfn.TEXTJOIN(" ", TRUE, _xlfn._xlws.FILTER(C192:BF192, MOD(COLUMN(C192:BF192)-COLUMN(BJ192),2)=0))</f>
        <v>DOING GOOD WITH HIGH INTREST ,AND WITH GREAT OUTLINE MEASUREMTS  GOOD OBSERVATION SKILLS,GOOD IN SHADING EVALUATING THE SHADING WELL DRAWING VERY REALISTIC PERFECT FINISHING INTERESTED IN CHARTOON DRAWINGS GOOD IN CREATING THE DEPTH AND VOLUME OF THE FIGURE DEVELOPING THE DEPTH OF FIGURE IS GOOD SHOWING PROGRESS IN DRAWING</v>
      </c>
      <c r="BI192" s="11"/>
      <c r="BJ192" s="11"/>
      <c r="BK192" s="11"/>
      <c r="BL192" s="11"/>
      <c r="BM192" s="11"/>
      <c r="BN192" s="11"/>
    </row>
    <row r="193" spans="1:66" ht="14.35" customHeight="1" x14ac:dyDescent="0.45">
      <c r="A193" s="32"/>
      <c r="B193" s="14" t="s">
        <v>43</v>
      </c>
      <c r="C193" s="8">
        <v>25</v>
      </c>
      <c r="D193" s="11" t="s">
        <v>71</v>
      </c>
      <c r="E193" s="8">
        <v>50</v>
      </c>
      <c r="F193" s="11" t="s">
        <v>115</v>
      </c>
      <c r="G193" s="8">
        <v>25</v>
      </c>
      <c r="H193" s="11" t="s">
        <v>121</v>
      </c>
      <c r="I193" s="11"/>
      <c r="J193" s="11" t="s">
        <v>163</v>
      </c>
      <c r="K193" s="15">
        <v>65</v>
      </c>
      <c r="L193" s="11" t="s">
        <v>178</v>
      </c>
      <c r="M193" s="8">
        <v>25</v>
      </c>
      <c r="N193" s="11" t="s">
        <v>121</v>
      </c>
      <c r="O193" s="11"/>
      <c r="P193" s="11"/>
      <c r="Q193" s="11" t="s">
        <v>82</v>
      </c>
      <c r="R193" s="11"/>
      <c r="S193" s="11">
        <v>50</v>
      </c>
      <c r="T193" s="11" t="s">
        <v>332</v>
      </c>
      <c r="U193" s="29">
        <v>80</v>
      </c>
      <c r="V193" s="11" t="s">
        <v>369</v>
      </c>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8">
        <f t="shared" si="5"/>
        <v>45.714285714285715</v>
      </c>
      <c r="BH193" s="12" t="str" cm="1">
        <f t="array" ref="BH193">_xlfn.TEXTJOIN(" ", TRUE, _xlfn._xlws.FILTER(C193:BF193, MOD(COLUMN(C193:BF193)-COLUMN(BJ193),2)=0))</f>
        <v>NEUTRAL PARTICIPATING NEED TO IMPROVE MORE NEAUTRAL PARTCIPATION CLASS CANCELED INTERESTED IN STORY BOOKS NEAUTRAL PARTCIPATION CAN PERFORM WELL,BUT CAN'T FORM A LINE ,VERY CONFUSED YETNEED TO IMPROVE PREFER TO READ MORAL STORIES</v>
      </c>
      <c r="BI193" s="11"/>
      <c r="BJ193" s="11"/>
      <c r="BK193" s="11"/>
      <c r="BL193" s="11"/>
      <c r="BM193" s="11"/>
      <c r="BN193" s="11"/>
    </row>
    <row r="194" spans="1:66" ht="14.35" customHeight="1" x14ac:dyDescent="0.45">
      <c r="A194" s="33"/>
      <c r="B194" s="14" t="s">
        <v>44</v>
      </c>
      <c r="C194" s="8"/>
      <c r="D194" s="11"/>
      <c r="E194" s="8"/>
      <c r="F194" s="11"/>
      <c r="G194" s="8"/>
      <c r="H194" s="11"/>
      <c r="I194" s="11"/>
      <c r="J194" s="11"/>
      <c r="K194" s="11"/>
      <c r="L194" s="11"/>
      <c r="M194" s="8"/>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8" t="str">
        <f t="shared" si="5"/>
        <v/>
      </c>
      <c r="BH194" s="12" t="str" cm="1">
        <f t="array" ref="BH194">_xlfn.TEXTJOIN(" ", TRUE, _xlfn._xlws.FILTER(C194:BF194, MOD(COLUMN(C194:BF194)-COLUMN(BJ194),2)=0))</f>
        <v/>
      </c>
      <c r="BI194" s="11"/>
      <c r="BJ194" s="11"/>
      <c r="BK194" s="11"/>
      <c r="BL194" s="11"/>
      <c r="BM194" s="11"/>
      <c r="BN194" s="11"/>
    </row>
    <row r="195" spans="1:66" ht="14.35" customHeight="1" x14ac:dyDescent="0.45">
      <c r="A195" s="31" t="s">
        <v>69</v>
      </c>
      <c r="B195" s="14" t="s">
        <v>39</v>
      </c>
      <c r="C195" s="8"/>
      <c r="D195" s="11"/>
      <c r="E195" s="8"/>
      <c r="F195" s="11"/>
      <c r="G195" s="8"/>
      <c r="H195" s="11"/>
      <c r="I195" s="11"/>
      <c r="J195" s="11"/>
      <c r="K195" s="15">
        <v>65</v>
      </c>
      <c r="L195" s="11" t="s">
        <v>168</v>
      </c>
      <c r="M195" s="8"/>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8">
        <f t="shared" si="5"/>
        <v>65</v>
      </c>
      <c r="BH195" s="12" t="str" cm="1">
        <f t="array" ref="BH195">_xlfn.TEXTJOIN(" ", TRUE, _xlfn._xlws.FILTER(C195:BF195, MOD(COLUMN(C195:BF195)-COLUMN(BJ195),2)=0))</f>
        <v>INTERESTED IN BIOLOGY</v>
      </c>
      <c r="BI195" s="11"/>
      <c r="BJ195" s="11"/>
      <c r="BK195" s="11"/>
      <c r="BL195" s="11"/>
      <c r="BM195" s="11"/>
      <c r="BN195" s="11"/>
    </row>
    <row r="196" spans="1:66" ht="14.35" customHeight="1" x14ac:dyDescent="0.45">
      <c r="A196" s="32"/>
      <c r="B196" s="14" t="s">
        <v>40</v>
      </c>
      <c r="C196" s="8">
        <v>50</v>
      </c>
      <c r="D196" s="11" t="s">
        <v>104</v>
      </c>
      <c r="E196" s="15">
        <v>65</v>
      </c>
      <c r="F196" s="11" t="s">
        <v>104</v>
      </c>
      <c r="G196" s="8">
        <v>75</v>
      </c>
      <c r="H196" s="11" t="s">
        <v>128</v>
      </c>
      <c r="I196" s="22">
        <v>85</v>
      </c>
      <c r="J196" s="11" t="s">
        <v>222</v>
      </c>
      <c r="K196" s="8">
        <v>75</v>
      </c>
      <c r="L196" s="11" t="s">
        <v>176</v>
      </c>
      <c r="M196" s="17">
        <v>85</v>
      </c>
      <c r="N196" s="11" t="s">
        <v>222</v>
      </c>
      <c r="O196" s="11"/>
      <c r="P196" s="11"/>
      <c r="Q196" s="11"/>
      <c r="R196" s="11"/>
      <c r="S196" s="11"/>
      <c r="T196" s="11"/>
      <c r="U196" s="27">
        <v>90</v>
      </c>
      <c r="V196" s="11" t="s">
        <v>370</v>
      </c>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8">
        <f t="shared" si="5"/>
        <v>75</v>
      </c>
      <c r="BH196" s="12" t="str" cm="1">
        <f t="array" ref="BH196">_xlfn.TEXTJOIN(" ", TRUE, _xlfn._xlws.FILTER(C196:BF196, MOD(COLUMN(C196:BF196)-COLUMN(BJ196),2)=0))</f>
        <v>GOOD IN SHUTTLE GOOD IN SHUTTLE GOOD IN KHO KHO PLAYING WELL SHUTTLE INTERESTED IN KHABADI PLAYING WELL SHUTTLE INTERESTED IN KHABADI&amp; PARTICIPATED IN 100MTS RUNNING RACE WON 2ND PRIZE</v>
      </c>
      <c r="BI196" s="11"/>
      <c r="BJ196" s="11"/>
      <c r="BK196" s="11"/>
      <c r="BL196" s="11"/>
      <c r="BM196" s="11"/>
      <c r="BN196" s="11"/>
    </row>
    <row r="197" spans="1:66" ht="14.35" customHeight="1" x14ac:dyDescent="0.45">
      <c r="A197" s="32"/>
      <c r="B197" s="14" t="s">
        <v>41</v>
      </c>
      <c r="C197" s="8">
        <v>75</v>
      </c>
      <c r="D197" s="11" t="s">
        <v>103</v>
      </c>
      <c r="E197" s="15">
        <v>65</v>
      </c>
      <c r="F197" s="11" t="s">
        <v>129</v>
      </c>
      <c r="G197" s="8">
        <v>75</v>
      </c>
      <c r="H197" s="11" t="s">
        <v>103</v>
      </c>
      <c r="I197" s="11">
        <v>75</v>
      </c>
      <c r="J197" s="11" t="s">
        <v>223</v>
      </c>
      <c r="K197" s="8">
        <v>75</v>
      </c>
      <c r="L197" s="11" t="s">
        <v>170</v>
      </c>
      <c r="M197" s="8">
        <v>75</v>
      </c>
      <c r="N197" s="11" t="s">
        <v>223</v>
      </c>
      <c r="O197" s="11"/>
      <c r="P197" s="11"/>
      <c r="Q197" s="11"/>
      <c r="R197" s="11"/>
      <c r="S197" s="11"/>
      <c r="T197" s="11"/>
      <c r="U197" s="29">
        <v>80</v>
      </c>
      <c r="V197" s="11" t="s">
        <v>367</v>
      </c>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8">
        <f t="shared" si="5"/>
        <v>74.285714285714292</v>
      </c>
      <c r="BH197" s="12" t="str" cm="1">
        <f t="array" ref="BH197">_xlfn.TEXTJOIN(" ", TRUE, _xlfn._xlws.FILTER(C197:BF197, MOD(COLUMN(C197:BF197)-COLUMN(BJ197),2)=0))</f>
        <v>SHOWING INTEREST BUT NEED PRACTICE PERFORMING WELL NEED PRACTISE SHOWING INTEREST BUT NEED PRACTICE ANSWERING WELL ACTIVE PARTICEPATION INTERESTED IN TYPING ANSWERING WELL ACTIVE PARTICEPATION LEARNING BASIC SKILLS LIKE TYPING</v>
      </c>
      <c r="BI197" s="11"/>
      <c r="BJ197" s="11"/>
      <c r="BK197" s="11"/>
      <c r="BL197" s="11"/>
      <c r="BM197" s="11"/>
      <c r="BN197" s="11"/>
    </row>
    <row r="198" spans="1:66" ht="14.35" customHeight="1" x14ac:dyDescent="0.45">
      <c r="A198" s="32"/>
      <c r="B198" s="14" t="s">
        <v>42</v>
      </c>
      <c r="C198" s="15">
        <v>65</v>
      </c>
      <c r="D198" s="11" t="s">
        <v>88</v>
      </c>
      <c r="E198" s="15">
        <v>65</v>
      </c>
      <c r="F198" s="11" t="s">
        <v>144</v>
      </c>
      <c r="G198" s="8">
        <v>50</v>
      </c>
      <c r="H198" s="11" t="s">
        <v>149</v>
      </c>
      <c r="I198" s="11">
        <v>75</v>
      </c>
      <c r="J198" s="11" t="s">
        <v>231</v>
      </c>
      <c r="K198" s="8">
        <v>75</v>
      </c>
      <c r="L198" s="11" t="s">
        <v>194</v>
      </c>
      <c r="M198" s="8">
        <v>70</v>
      </c>
      <c r="N198" s="11" t="s">
        <v>146</v>
      </c>
      <c r="O198" s="11">
        <v>75</v>
      </c>
      <c r="P198" s="11" t="s">
        <v>269</v>
      </c>
      <c r="Q198" s="11"/>
      <c r="R198" s="11"/>
      <c r="S198" s="11"/>
      <c r="T198" s="11"/>
      <c r="U198" s="29">
        <v>80</v>
      </c>
      <c r="V198" s="11" t="s">
        <v>368</v>
      </c>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8">
        <f t="shared" si="5"/>
        <v>69.375</v>
      </c>
      <c r="BH198" s="12" t="str" cm="1">
        <f t="array" ref="BH198">_xlfn.TEXTJOIN(" ", TRUE, _xlfn._xlws.FILTER(C198:BF198, MOD(COLUMN(C198:BF198)-COLUMN(BJ198),2)=0))</f>
        <v>DOING GOOD IN DRAWING WITH CONCETRATE BUT NEED MORE PRACTISE PROPORTION OF THE FIGURE IS ACCURATE AND NEAT NEED TO REFINE THE FIGURE USING PENCIL STROKES FOR EFFECTS INTERESTED IN GOD PICTURES DRAWING GOOD IN VISUAL COMPONENTS FOLLOWING THE MEASUREMENT CORRECTLY SHOWING PROGRESS IN DRAWING</v>
      </c>
      <c r="BI198" s="11"/>
      <c r="BJ198" s="11"/>
      <c r="BK198" s="11"/>
      <c r="BL198" s="11"/>
      <c r="BM198" s="11"/>
      <c r="BN198" s="11"/>
    </row>
    <row r="199" spans="1:66" ht="14.35" customHeight="1" x14ac:dyDescent="0.45">
      <c r="A199" s="32"/>
      <c r="B199" s="14" t="s">
        <v>43</v>
      </c>
      <c r="C199" s="8">
        <v>50</v>
      </c>
      <c r="D199" s="11" t="s">
        <v>78</v>
      </c>
      <c r="E199" s="8">
        <v>50</v>
      </c>
      <c r="F199" s="11" t="s">
        <v>119</v>
      </c>
      <c r="G199" s="8">
        <v>50</v>
      </c>
      <c r="H199" s="11" t="s">
        <v>117</v>
      </c>
      <c r="I199" s="11"/>
      <c r="J199" s="11" t="s">
        <v>163</v>
      </c>
      <c r="K199" s="15">
        <v>65</v>
      </c>
      <c r="L199" s="11" t="s">
        <v>178</v>
      </c>
      <c r="M199" s="8">
        <v>50</v>
      </c>
      <c r="N199" s="11" t="s">
        <v>100</v>
      </c>
      <c r="O199" s="11"/>
      <c r="P199" s="11"/>
      <c r="Q199" s="11" t="s">
        <v>82</v>
      </c>
      <c r="R199" s="11"/>
      <c r="S199" s="11">
        <v>60</v>
      </c>
      <c r="T199" s="11" t="s">
        <v>331</v>
      </c>
      <c r="U199" s="27">
        <v>90</v>
      </c>
      <c r="V199" s="11" t="s">
        <v>371</v>
      </c>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8">
        <f t="shared" si="5"/>
        <v>59.285714285714285</v>
      </c>
      <c r="BH199" s="12" t="str" cm="1">
        <f t="array" ref="BH199">_xlfn.TEXTJOIN(" ", TRUE, _xlfn._xlws.FILTER(C199:BF199, MOD(COLUMN(C199:BF199)-COLUMN(BJ199),2)=0))</f>
        <v>AVEARAGE PARTICIPATION DOING GOOD NEED TO CONCENTRATE DOING GOOD NEED TO PRACTISE VOCABULARY CLASS CANCELED INTERESTED IN STORY BOOKS AVERAGE PARTCIPATION INTERESTED IN (HORROR) STORIES ,WELL&amp;CLARITY IN EXPLANATION PREFER TO READ TELUGU NEETHI KATHALU</v>
      </c>
      <c r="BI199" s="11"/>
      <c r="BJ199" s="11"/>
      <c r="BK199" s="11"/>
      <c r="BL199" s="11"/>
      <c r="BM199" s="11"/>
      <c r="BN199" s="11"/>
    </row>
    <row r="200" spans="1:66" ht="14.35" customHeight="1" x14ac:dyDescent="0.45">
      <c r="A200" s="33"/>
      <c r="B200" s="14" t="s">
        <v>44</v>
      </c>
      <c r="C200" s="8"/>
      <c r="D200" s="11"/>
      <c r="E200" s="8"/>
      <c r="F200" s="11"/>
      <c r="G200" s="8"/>
      <c r="H200" s="11"/>
      <c r="I200" s="11"/>
      <c r="J200" s="11"/>
      <c r="K200" s="11"/>
      <c r="L200" s="11"/>
      <c r="M200" s="8"/>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8" t="str">
        <f t="shared" si="5"/>
        <v/>
      </c>
      <c r="BH200" s="12" t="str" cm="1">
        <f t="array" ref="BH200">_xlfn.TEXTJOIN(" ", TRUE, _xlfn._xlws.FILTER(C200:BF200, MOD(COLUMN(C200:BF200)-COLUMN(BJ200),2)=0))</f>
        <v/>
      </c>
      <c r="BI200" s="11"/>
      <c r="BJ200" s="11"/>
      <c r="BK200" s="11"/>
      <c r="BL200" s="11"/>
      <c r="BM200" s="11"/>
      <c r="BN200" s="11"/>
    </row>
    <row r="201" spans="1:66" ht="14.35" customHeight="1" x14ac:dyDescent="0.45">
      <c r="A201" s="31" t="s">
        <v>165</v>
      </c>
      <c r="B201" s="14" t="s">
        <v>39</v>
      </c>
      <c r="C201" s="8"/>
      <c r="D201" s="8"/>
      <c r="E201" s="8"/>
      <c r="F201" s="11"/>
      <c r="G201" s="8"/>
      <c r="H201" s="11"/>
      <c r="I201" s="8"/>
      <c r="J201" s="8"/>
      <c r="K201" s="15">
        <v>65</v>
      </c>
      <c r="L201" s="11" t="s">
        <v>173</v>
      </c>
      <c r="M201" s="8"/>
      <c r="N201" s="11"/>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f t="shared" si="5"/>
        <v>65</v>
      </c>
      <c r="BH201" s="12" t="str" cm="1">
        <f t="array" ref="BH201">_xlfn.TEXTJOIN(" ", TRUE, _xlfn._xlws.FILTER(C201:BF201, MOD(COLUMN(C201:BF201)-COLUMN(BJ201),2)=0))</f>
        <v>INTERESTED IN HINDI</v>
      </c>
      <c r="BI201" s="8"/>
      <c r="BJ201" s="8"/>
      <c r="BK201" s="8"/>
      <c r="BL201" s="8"/>
      <c r="BM201" s="8"/>
      <c r="BN201" s="8"/>
    </row>
    <row r="202" spans="1:66" ht="14.35" customHeight="1" x14ac:dyDescent="0.45">
      <c r="A202" s="32"/>
      <c r="B202" s="14" t="s">
        <v>40</v>
      </c>
      <c r="C202" s="8">
        <v>50</v>
      </c>
      <c r="D202" s="12" t="s">
        <v>104</v>
      </c>
      <c r="E202" s="15">
        <v>65</v>
      </c>
      <c r="F202" s="11" t="s">
        <v>104</v>
      </c>
      <c r="G202" s="8">
        <v>75</v>
      </c>
      <c r="H202" s="11" t="s">
        <v>128</v>
      </c>
      <c r="I202" s="22">
        <v>85</v>
      </c>
      <c r="J202" s="11" t="s">
        <v>222</v>
      </c>
      <c r="K202" s="8"/>
      <c r="L202" s="11"/>
      <c r="M202" s="17">
        <v>85</v>
      </c>
      <c r="N202" s="11" t="s">
        <v>222</v>
      </c>
      <c r="O202" s="8"/>
      <c r="P202" s="8"/>
      <c r="Q202" s="8"/>
      <c r="R202" s="8"/>
      <c r="S202" s="8"/>
      <c r="T202" s="8"/>
      <c r="U202" s="27">
        <v>90</v>
      </c>
      <c r="V202" s="11" t="s">
        <v>366</v>
      </c>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f t="shared" si="5"/>
        <v>75</v>
      </c>
      <c r="BH202" s="12" t="str" cm="1">
        <f t="array" ref="BH202">_xlfn.TEXTJOIN(" ", TRUE, _xlfn._xlws.FILTER(C202:BF202, MOD(COLUMN(C202:BF202)-COLUMN(BJ202),2)=0))</f>
        <v>GOOD IN SHUTTLE GOOD IN SHUTTLE GOOD IN KHO KHO PLAYING WELL SHUTTLE PLAYING WELL SHUTTLE INTERESTED IN PLAYING THROWBALL,KHABADI</v>
      </c>
      <c r="BI202" s="8"/>
      <c r="BJ202" s="8"/>
      <c r="BK202" s="8"/>
      <c r="BL202" s="8"/>
      <c r="BM202" s="8"/>
      <c r="BN202" s="8"/>
    </row>
    <row r="203" spans="1:66" ht="14.35" customHeight="1" x14ac:dyDescent="0.45">
      <c r="A203" s="32"/>
      <c r="B203" s="14" t="s">
        <v>41</v>
      </c>
      <c r="C203" s="8">
        <v>75</v>
      </c>
      <c r="D203" s="11" t="s">
        <v>103</v>
      </c>
      <c r="E203" s="15">
        <v>65</v>
      </c>
      <c r="F203" s="11" t="s">
        <v>129</v>
      </c>
      <c r="G203" s="8">
        <v>75</v>
      </c>
      <c r="H203" s="11" t="s">
        <v>103</v>
      </c>
      <c r="I203" s="11">
        <v>75</v>
      </c>
      <c r="J203" s="11" t="s">
        <v>223</v>
      </c>
      <c r="K203" s="8"/>
      <c r="L203" s="11"/>
      <c r="M203" s="8">
        <v>75</v>
      </c>
      <c r="N203" s="11" t="s">
        <v>223</v>
      </c>
      <c r="O203" s="8"/>
      <c r="P203" s="8"/>
      <c r="Q203" s="8"/>
      <c r="R203" s="8"/>
      <c r="S203" s="8"/>
      <c r="T203" s="8"/>
      <c r="U203" s="29">
        <v>80</v>
      </c>
      <c r="V203" s="11" t="s">
        <v>367</v>
      </c>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f t="shared" si="5"/>
        <v>74.166666666666671</v>
      </c>
      <c r="BH203" s="12" t="str" cm="1">
        <f t="array" ref="BH203">_xlfn.TEXTJOIN(" ", TRUE, _xlfn._xlws.FILTER(C203:BF203, MOD(COLUMN(C203:BF203)-COLUMN(BJ203),2)=0))</f>
        <v>SHOWING INTEREST BUT NEED PRACTICE PERFORMING WELL NEED PRACTISE SHOWING INTEREST BUT NEED PRACTICE ANSWERING WELL ACTIVE PARTICEPATION ANSWERING WELL ACTIVE PARTICEPATION LEARNING BASIC SKILLS LIKE TYPING</v>
      </c>
      <c r="BI203" s="8"/>
      <c r="BJ203" s="8"/>
      <c r="BK203" s="8"/>
      <c r="BL203" s="8"/>
      <c r="BM203" s="8"/>
      <c r="BN203" s="8"/>
    </row>
    <row r="204" spans="1:66" ht="14.35" customHeight="1" x14ac:dyDescent="0.45">
      <c r="A204" s="32"/>
      <c r="B204" s="14" t="s">
        <v>42</v>
      </c>
      <c r="C204" s="8">
        <v>50</v>
      </c>
      <c r="D204" s="11" t="s">
        <v>78</v>
      </c>
      <c r="E204" s="8">
        <v>50</v>
      </c>
      <c r="F204" s="11" t="s">
        <v>147</v>
      </c>
      <c r="G204" s="8" t="s">
        <v>82</v>
      </c>
      <c r="H204" s="11" t="s">
        <v>83</v>
      </c>
      <c r="I204" s="23">
        <v>65</v>
      </c>
      <c r="J204" s="11" t="s">
        <v>230</v>
      </c>
      <c r="K204" s="8"/>
      <c r="L204" s="11"/>
      <c r="M204" s="8">
        <v>60</v>
      </c>
      <c r="N204" s="11" t="s">
        <v>261</v>
      </c>
      <c r="O204" s="8">
        <v>75</v>
      </c>
      <c r="P204" s="8" t="s">
        <v>285</v>
      </c>
      <c r="Q204" s="8"/>
      <c r="R204" s="8"/>
      <c r="S204" s="8"/>
      <c r="T204" s="8"/>
      <c r="U204" s="29">
        <v>80</v>
      </c>
      <c r="V204" s="11" t="s">
        <v>368</v>
      </c>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f t="shared" si="5"/>
        <v>63.333333333333336</v>
      </c>
      <c r="BH204" s="12" t="str" cm="1">
        <f t="array" ref="BH204">_xlfn.TEXTJOIN(" ", TRUE, _xlfn._xlws.FILTER(C204:BF204, MOD(COLUMN(C204:BF204)-COLUMN(BJ204),2)=0))</f>
        <v>AVEARAGE PARTICIPATION NEED TO FOCUS ON VISUAL ABSENT AVERAGE PARTICEPATION SIMPLIFYING THE SHAPE IS GOOD  NEED TO CHECK THE CURVES  SHOWING PROGRESS IN DRAWING</v>
      </c>
      <c r="BI204" s="8"/>
      <c r="BJ204" s="8"/>
      <c r="BK204" s="8"/>
      <c r="BL204" s="8"/>
      <c r="BM204" s="8"/>
      <c r="BN204" s="8"/>
    </row>
    <row r="205" spans="1:66" ht="14.35" customHeight="1" x14ac:dyDescent="0.45">
      <c r="A205" s="32"/>
      <c r="B205" s="14" t="s">
        <v>43</v>
      </c>
      <c r="C205" s="8">
        <v>25</v>
      </c>
      <c r="D205" s="11" t="s">
        <v>71</v>
      </c>
      <c r="E205" s="8">
        <v>50</v>
      </c>
      <c r="F205" s="11" t="s">
        <v>92</v>
      </c>
      <c r="G205" s="8">
        <v>50</v>
      </c>
      <c r="H205" s="11" t="s">
        <v>107</v>
      </c>
      <c r="I205" s="8"/>
      <c r="J205" s="11" t="s">
        <v>163</v>
      </c>
      <c r="K205" s="8">
        <v>75</v>
      </c>
      <c r="L205" s="11" t="s">
        <v>174</v>
      </c>
      <c r="M205" s="8">
        <v>50</v>
      </c>
      <c r="N205" s="11" t="s">
        <v>100</v>
      </c>
      <c r="O205" s="8"/>
      <c r="P205" s="8"/>
      <c r="Q205" s="8"/>
      <c r="R205" s="8" t="s">
        <v>305</v>
      </c>
      <c r="S205" s="8">
        <v>40</v>
      </c>
      <c r="T205" s="8" t="s">
        <v>330</v>
      </c>
      <c r="U205" s="29">
        <v>80</v>
      </c>
      <c r="V205" s="11" t="s">
        <v>369</v>
      </c>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f t="shared" si="5"/>
        <v>52.857142857142854</v>
      </c>
      <c r="BH205" s="12" t="str" cm="1">
        <f t="array" ref="BH205">_xlfn.TEXTJOIN(" ", TRUE, _xlfn._xlws.FILTER(C205:BF205, MOD(COLUMN(C205:BF205)-COLUMN(BJ205),2)=0))</f>
        <v>NEUTRAL PARTICIPATING JUST PARTICIPATING GOOD IN READING VOCABULARY BUT NEED TO CONCENTATE CLASS CANCELED INTERESTED IN MORAL BOOKS AVERAGE PARTCIPATION NEED TO PERFORM WELL INTERESTED IN READING BUT DISTRACTED BUT CAN FORM ALINE NEED TO BE IMPROVED PREFER TO READ MORAL STORIES</v>
      </c>
      <c r="BI205" s="8"/>
      <c r="BJ205" s="8"/>
      <c r="BK205" s="8"/>
      <c r="BL205" s="8"/>
      <c r="BM205" s="8"/>
      <c r="BN205" s="8"/>
    </row>
    <row r="206" spans="1:66" ht="14.35" customHeight="1" x14ac:dyDescent="0.45">
      <c r="A206" s="33"/>
      <c r="B206" s="14" t="s">
        <v>44</v>
      </c>
      <c r="C206" s="8"/>
      <c r="D206" s="8"/>
      <c r="E206" s="8"/>
      <c r="F206" s="11"/>
      <c r="G206" s="8"/>
      <c r="H206" s="11"/>
      <c r="I206" s="8"/>
      <c r="J206" s="11"/>
      <c r="K206" s="8"/>
      <c r="L206" s="11"/>
      <c r="M206" s="8"/>
      <c r="N206" s="11"/>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t="str">
        <f t="shared" si="5"/>
        <v/>
      </c>
      <c r="BH206" s="12" t="str" cm="1">
        <f t="array" ref="BH206">_xlfn.TEXTJOIN(" ", TRUE, _xlfn._xlws.FILTER(C206:BF206, MOD(COLUMN(C206:BF206)-COLUMN(BJ206),2)=0))</f>
        <v/>
      </c>
      <c r="BI206" s="8"/>
      <c r="BJ206" s="8"/>
      <c r="BK206" s="8"/>
      <c r="BL206" s="8"/>
      <c r="BM206" s="8"/>
      <c r="BN206" s="8"/>
    </row>
    <row r="207" spans="1:66" ht="14.35" customHeight="1" x14ac:dyDescent="0.45">
      <c r="A207" s="31" t="s">
        <v>167</v>
      </c>
      <c r="B207" s="8" t="s">
        <v>39</v>
      </c>
      <c r="C207" s="8"/>
      <c r="D207" s="8"/>
      <c r="E207" s="8"/>
      <c r="F207" s="11"/>
      <c r="G207" s="8"/>
      <c r="H207" s="11"/>
      <c r="I207" s="8"/>
      <c r="J207" s="8"/>
      <c r="K207" s="8">
        <v>75</v>
      </c>
      <c r="L207" s="11" t="s">
        <v>180</v>
      </c>
      <c r="M207" s="8"/>
      <c r="N207" s="11"/>
      <c r="O207" s="8"/>
      <c r="P207" s="8"/>
      <c r="Q207" s="8"/>
      <c r="R207" s="8"/>
      <c r="S207" s="8"/>
      <c r="T207" s="8"/>
      <c r="U207" s="8"/>
      <c r="V207" s="8"/>
      <c r="W207" s="8"/>
      <c r="X207" s="8"/>
      <c r="Y207" s="8"/>
      <c r="Z207" s="8"/>
      <c r="AA207" s="8"/>
      <c r="AB207" s="8"/>
      <c r="AC207" s="8"/>
      <c r="AD207" s="8"/>
      <c r="AE207" s="8"/>
      <c r="AF207" s="8"/>
      <c r="AG207" s="8"/>
      <c r="BG207" s="8">
        <f t="shared" si="5"/>
        <v>75</v>
      </c>
      <c r="BH207" s="12" t="str" cm="1">
        <f t="array" ref="BH207">_xlfn.TEXTJOIN(" ", TRUE, _xlfn._xlws.FILTER(C207:BF207, MOD(COLUMN(C207:BF207)-COLUMN(BJ207),2)=0))</f>
        <v>INTERESTED IN BIOLOGY REPRODUC5TION IN PLANTS</v>
      </c>
    </row>
    <row r="208" spans="1:66" ht="14.35" customHeight="1" x14ac:dyDescent="0.45">
      <c r="A208" s="32"/>
      <c r="B208" s="8" t="s">
        <v>40</v>
      </c>
      <c r="C208" s="8">
        <v>50</v>
      </c>
      <c r="D208" s="11" t="s">
        <v>104</v>
      </c>
      <c r="E208" s="15">
        <v>65</v>
      </c>
      <c r="F208" s="11" t="s">
        <v>104</v>
      </c>
      <c r="G208" s="8">
        <v>75</v>
      </c>
      <c r="H208" s="11" t="s">
        <v>128</v>
      </c>
      <c r="I208" s="22">
        <v>85</v>
      </c>
      <c r="J208" s="11" t="s">
        <v>222</v>
      </c>
      <c r="K208" s="8">
        <v>75</v>
      </c>
      <c r="L208" s="11" t="s">
        <v>181</v>
      </c>
      <c r="M208" s="17">
        <v>85</v>
      </c>
      <c r="N208" s="11" t="s">
        <v>222</v>
      </c>
      <c r="O208" s="8"/>
      <c r="P208" s="8"/>
      <c r="Q208" s="8"/>
      <c r="R208" s="8"/>
      <c r="S208" s="8"/>
      <c r="T208" s="8"/>
      <c r="U208" s="27">
        <v>90</v>
      </c>
      <c r="V208" s="11" t="s">
        <v>366</v>
      </c>
      <c r="W208" s="8"/>
      <c r="X208" s="8"/>
      <c r="Y208" s="8"/>
      <c r="Z208" s="8"/>
      <c r="AA208" s="8"/>
      <c r="AB208" s="8"/>
      <c r="AC208" s="8"/>
      <c r="AD208" s="8"/>
      <c r="AE208" s="8"/>
      <c r="AF208" s="8"/>
      <c r="AG208" s="8"/>
      <c r="BG208" s="8">
        <f t="shared" si="5"/>
        <v>75</v>
      </c>
      <c r="BH208" s="12" t="str" cm="1">
        <f t="array" ref="BH208">_xlfn.TEXTJOIN(" ", TRUE, _xlfn._xlws.FILTER(C208:BF208, MOD(COLUMN(C208:BF208)-COLUMN(BJ208),2)=0))</f>
        <v>GOOD IN SHUTTLE GOOD IN SHUTTLE GOOD IN KHO KHO PLAYING WELL SHUTTLE INTERESTED IN KHABADI &amp;  KHO-KHO PLAYING WELL SHUTTLE INTERESTED IN PLAYING THROWBALL,KHABADI</v>
      </c>
    </row>
    <row r="209" spans="1:33" ht="14.35" customHeight="1" x14ac:dyDescent="0.45">
      <c r="A209" s="32"/>
      <c r="B209" s="8" t="s">
        <v>41</v>
      </c>
      <c r="C209" s="8">
        <v>75</v>
      </c>
      <c r="D209" s="11" t="s">
        <v>103</v>
      </c>
      <c r="E209" s="15">
        <v>65</v>
      </c>
      <c r="F209" s="11" t="s">
        <v>129</v>
      </c>
      <c r="G209" s="8">
        <v>75</v>
      </c>
      <c r="H209" s="11" t="s">
        <v>103</v>
      </c>
      <c r="I209" s="11">
        <v>75</v>
      </c>
      <c r="J209" s="11" t="s">
        <v>223</v>
      </c>
      <c r="K209" s="8">
        <v>75</v>
      </c>
      <c r="L209" s="11" t="s">
        <v>170</v>
      </c>
      <c r="M209" s="8">
        <v>75</v>
      </c>
      <c r="N209" s="11" t="s">
        <v>223</v>
      </c>
      <c r="O209" s="8"/>
      <c r="P209" s="8"/>
      <c r="Q209" s="8"/>
      <c r="R209" s="8"/>
      <c r="S209" s="8"/>
      <c r="T209" s="8"/>
      <c r="U209" s="29">
        <v>80</v>
      </c>
      <c r="V209" s="11" t="s">
        <v>367</v>
      </c>
      <c r="W209" s="8"/>
      <c r="X209" s="8"/>
      <c r="Y209" s="8"/>
      <c r="Z209" s="8"/>
      <c r="AA209" s="8"/>
      <c r="AB209" s="8"/>
      <c r="AC209" s="8"/>
      <c r="AD209" s="8"/>
      <c r="AE209" s="8"/>
      <c r="AF209" s="8"/>
      <c r="AG209" s="8"/>
    </row>
    <row r="210" spans="1:33" ht="14.35" customHeight="1" x14ac:dyDescent="0.45">
      <c r="A210" s="32"/>
      <c r="B210" s="8" t="s">
        <v>42</v>
      </c>
      <c r="C210" s="8">
        <v>50</v>
      </c>
      <c r="D210" s="11" t="s">
        <v>78</v>
      </c>
      <c r="E210" s="8">
        <v>50</v>
      </c>
      <c r="F210" s="11" t="s">
        <v>118</v>
      </c>
      <c r="G210" s="15">
        <v>65</v>
      </c>
      <c r="H210" s="11" t="s">
        <v>139</v>
      </c>
      <c r="I210" s="8">
        <v>75</v>
      </c>
      <c r="J210" s="11" t="s">
        <v>141</v>
      </c>
      <c r="K210" s="8">
        <v>75</v>
      </c>
      <c r="L210" s="11" t="s">
        <v>182</v>
      </c>
      <c r="M210" s="8">
        <v>65</v>
      </c>
      <c r="N210" s="11" t="s">
        <v>260</v>
      </c>
      <c r="O210" s="8">
        <v>75</v>
      </c>
      <c r="P210" s="8" t="s">
        <v>272</v>
      </c>
      <c r="Q210" s="8"/>
      <c r="R210" s="8"/>
      <c r="S210" s="8"/>
      <c r="T210" s="8"/>
      <c r="U210" s="29">
        <v>80</v>
      </c>
      <c r="V210" s="11" t="s">
        <v>368</v>
      </c>
      <c r="W210" s="8"/>
      <c r="X210" s="8"/>
      <c r="Y210" s="8"/>
      <c r="Z210" s="8"/>
      <c r="AA210" s="8"/>
      <c r="AB210" s="8"/>
      <c r="AC210" s="8"/>
      <c r="AD210" s="8"/>
      <c r="AE210" s="8"/>
      <c r="AF210" s="8"/>
      <c r="AG210" s="8"/>
    </row>
    <row r="211" spans="1:33" ht="14.35" customHeight="1" x14ac:dyDescent="0.45">
      <c r="A211" s="32"/>
      <c r="B211" s="8" t="s">
        <v>43</v>
      </c>
      <c r="C211" s="8">
        <v>25</v>
      </c>
      <c r="D211" s="18" t="s">
        <v>81</v>
      </c>
      <c r="E211" s="8">
        <v>25</v>
      </c>
      <c r="F211" s="11" t="s">
        <v>92</v>
      </c>
      <c r="G211" s="8">
        <v>50</v>
      </c>
      <c r="H211" s="11" t="s">
        <v>100</v>
      </c>
      <c r="I211" s="8"/>
      <c r="J211" s="11" t="s">
        <v>163</v>
      </c>
      <c r="K211" s="15">
        <v>65</v>
      </c>
      <c r="L211" s="11" t="s">
        <v>178</v>
      </c>
      <c r="M211" s="8">
        <v>50</v>
      </c>
      <c r="N211" s="11" t="s">
        <v>250</v>
      </c>
      <c r="O211" s="8"/>
      <c r="P211" s="8"/>
      <c r="Q211" s="8">
        <v>50</v>
      </c>
      <c r="R211" s="8" t="s">
        <v>297</v>
      </c>
      <c r="S211" s="8" t="s">
        <v>82</v>
      </c>
      <c r="T211" s="8"/>
      <c r="U211" s="29">
        <v>80</v>
      </c>
      <c r="V211" s="11" t="s">
        <v>379</v>
      </c>
      <c r="W211" s="8"/>
      <c r="X211" s="8"/>
      <c r="Y211" s="8"/>
      <c r="Z211" s="8"/>
      <c r="AA211" s="8"/>
      <c r="AB211" s="8"/>
      <c r="AC211" s="8"/>
      <c r="AD211" s="8"/>
      <c r="AE211" s="8"/>
      <c r="AF211" s="8"/>
      <c r="AG211" s="8"/>
    </row>
    <row r="212" spans="1:33" ht="14.35" customHeight="1" x14ac:dyDescent="0.45">
      <c r="A212" s="33"/>
      <c r="B212" s="8" t="s">
        <v>44</v>
      </c>
      <c r="C212" s="8"/>
      <c r="D212" s="8"/>
      <c r="E212" s="8"/>
      <c r="F212" s="11"/>
      <c r="G212" s="8"/>
      <c r="H212" s="11"/>
      <c r="I212" s="8"/>
      <c r="J212" s="8"/>
      <c r="K212" s="8"/>
      <c r="L212" s="11"/>
      <c r="M212" s="8"/>
      <c r="N212" s="11"/>
      <c r="O212" s="8"/>
      <c r="P212" s="8"/>
      <c r="Q212" s="8"/>
      <c r="S212" s="8"/>
      <c r="T212" s="8"/>
      <c r="U212" s="8"/>
      <c r="V212" s="8"/>
      <c r="W212" s="8"/>
      <c r="X212" s="8"/>
      <c r="Y212" s="8"/>
      <c r="Z212" s="8"/>
      <c r="AA212" s="8"/>
      <c r="AB212" s="8"/>
      <c r="AC212" s="8"/>
      <c r="AD212" s="8"/>
      <c r="AF212" s="8"/>
      <c r="AG212" s="8"/>
    </row>
    <row r="213" spans="1:33" ht="14.35" customHeight="1" x14ac:dyDescent="0.45">
      <c r="C213" s="16"/>
      <c r="E213" s="16"/>
      <c r="G213" s="16"/>
      <c r="M213" s="16"/>
    </row>
    <row r="214" spans="1:33" x14ac:dyDescent="0.45">
      <c r="C214" s="16"/>
      <c r="E214" s="16"/>
      <c r="G214" s="16"/>
      <c r="M214" s="16"/>
    </row>
    <row r="215" spans="1:33" x14ac:dyDescent="0.45">
      <c r="C215" s="16"/>
      <c r="E215" s="16"/>
      <c r="G215" s="16"/>
      <c r="M215" s="16"/>
    </row>
    <row r="216" spans="1:33" x14ac:dyDescent="0.45">
      <c r="C216" s="16"/>
      <c r="E216" s="16"/>
      <c r="G216" s="16"/>
      <c r="M216" s="16"/>
    </row>
    <row r="217" spans="1:33" x14ac:dyDescent="0.45">
      <c r="C217" s="16"/>
      <c r="E217" s="16"/>
      <c r="G217" s="16"/>
      <c r="M217" s="16"/>
    </row>
    <row r="218" spans="1:33" x14ac:dyDescent="0.45">
      <c r="C218" s="16"/>
      <c r="E218" s="16"/>
      <c r="G218" s="16"/>
      <c r="M218" s="16"/>
    </row>
    <row r="219" spans="1:33" x14ac:dyDescent="0.45">
      <c r="C219" s="16"/>
      <c r="E219" s="16"/>
      <c r="G219" s="16"/>
      <c r="M219" s="16"/>
    </row>
    <row r="220" spans="1:33" x14ac:dyDescent="0.45">
      <c r="C220" s="16"/>
      <c r="E220" s="16"/>
      <c r="G220" s="16"/>
      <c r="M220" s="16"/>
    </row>
    <row r="221" spans="1:33" x14ac:dyDescent="0.45">
      <c r="C221" s="16"/>
      <c r="E221" s="16"/>
      <c r="G221" s="16"/>
      <c r="M221" s="16"/>
    </row>
    <row r="222" spans="1:33" x14ac:dyDescent="0.45">
      <c r="C222" s="16"/>
      <c r="E222" s="16"/>
      <c r="G222" s="16"/>
      <c r="M222" s="16"/>
    </row>
    <row r="223" spans="1:33" x14ac:dyDescent="0.45">
      <c r="C223" s="16"/>
      <c r="E223" s="16"/>
      <c r="G223" s="16"/>
      <c r="M223" s="16"/>
    </row>
    <row r="224" spans="1:33" x14ac:dyDescent="0.45">
      <c r="C224" s="16"/>
      <c r="G224" s="16"/>
      <c r="M224" s="16"/>
    </row>
    <row r="225" spans="3:13" x14ac:dyDescent="0.45">
      <c r="C225" s="16"/>
      <c r="G225" s="16"/>
      <c r="M225" s="16"/>
    </row>
    <row r="226" spans="3:13" x14ac:dyDescent="0.45">
      <c r="C226" s="16"/>
      <c r="G226" s="16"/>
      <c r="M226" s="16"/>
    </row>
    <row r="227" spans="3:13" x14ac:dyDescent="0.45">
      <c r="C227" s="16"/>
      <c r="G227" s="16"/>
      <c r="M227" s="16"/>
    </row>
    <row r="228" spans="3:13" x14ac:dyDescent="0.45">
      <c r="C228" s="16"/>
      <c r="G228" s="16"/>
      <c r="M228" s="16"/>
    </row>
    <row r="229" spans="3:13" x14ac:dyDescent="0.45">
      <c r="C229" s="16"/>
      <c r="M229" s="16"/>
    </row>
    <row r="230" spans="3:13" x14ac:dyDescent="0.45">
      <c r="C230" s="16"/>
    </row>
  </sheetData>
  <mergeCells count="69">
    <mergeCell ref="A201:A206"/>
    <mergeCell ref="A195:A200"/>
    <mergeCell ref="A189:A194"/>
    <mergeCell ref="A123:A128"/>
    <mergeCell ref="A129:A134"/>
    <mergeCell ref="A135:A140"/>
    <mergeCell ref="A141:A146"/>
    <mergeCell ref="A147:A152"/>
    <mergeCell ref="A153:A158"/>
    <mergeCell ref="A159:A164"/>
    <mergeCell ref="A165:A170"/>
    <mergeCell ref="A171:A176"/>
    <mergeCell ref="A177:A182"/>
    <mergeCell ref="A183:A188"/>
    <mergeCell ref="A21:A26"/>
    <mergeCell ref="A27:A32"/>
    <mergeCell ref="A33:A38"/>
    <mergeCell ref="A39:A44"/>
    <mergeCell ref="A117:A122"/>
    <mergeCell ref="A51:A56"/>
    <mergeCell ref="A57:A62"/>
    <mergeCell ref="A63:A68"/>
    <mergeCell ref="A69:A74"/>
    <mergeCell ref="A75:A80"/>
    <mergeCell ref="A81:A86"/>
    <mergeCell ref="A87:A92"/>
    <mergeCell ref="A93:A98"/>
    <mergeCell ref="A99:A104"/>
    <mergeCell ref="A105:A110"/>
    <mergeCell ref="A111:A116"/>
    <mergeCell ref="BK1:BL1"/>
    <mergeCell ref="BM1:BN1"/>
    <mergeCell ref="BO1:BP1"/>
    <mergeCell ref="BQ1:BR1"/>
    <mergeCell ref="A3:A8"/>
    <mergeCell ref="AY1:AZ1"/>
    <mergeCell ref="BA1:BB1"/>
    <mergeCell ref="BC1:BD1"/>
    <mergeCell ref="BE1:BF1"/>
    <mergeCell ref="BG1:BH1"/>
    <mergeCell ref="BI1:BJ1"/>
    <mergeCell ref="AM1:AN1"/>
    <mergeCell ref="AO1:AP1"/>
    <mergeCell ref="AQ1:AR1"/>
    <mergeCell ref="AS1:AT1"/>
    <mergeCell ref="AU1:AV1"/>
    <mergeCell ref="AW1:AX1"/>
    <mergeCell ref="AA1:AB1"/>
    <mergeCell ref="AC1:AD1"/>
    <mergeCell ref="AE1:AF1"/>
    <mergeCell ref="AG1:AH1"/>
    <mergeCell ref="AI1:AJ1"/>
    <mergeCell ref="AK1:AL1"/>
    <mergeCell ref="A207:A212"/>
    <mergeCell ref="Y1:Z1"/>
    <mergeCell ref="C1:D1"/>
    <mergeCell ref="E1:F1"/>
    <mergeCell ref="G1:H1"/>
    <mergeCell ref="I1:J1"/>
    <mergeCell ref="K1:L1"/>
    <mergeCell ref="M1:N1"/>
    <mergeCell ref="O1:P1"/>
    <mergeCell ref="Q1:R1"/>
    <mergeCell ref="S1:T1"/>
    <mergeCell ref="U1:V1"/>
    <mergeCell ref="W1:X1"/>
    <mergeCell ref="A45:A50"/>
    <mergeCell ref="A9:A14"/>
    <mergeCell ref="A15:A20"/>
  </mergeCells>
  <phoneticPr fontId="5" type="noConversion"/>
  <conditionalFormatting sqref="C130:C133">
    <cfRule type="containsText" dxfId="874" priority="2850" operator="containsText" text="50">
      <formula>NOT(ISERROR(SEARCH("50",C130)))</formula>
    </cfRule>
    <cfRule type="containsText" dxfId="873" priority="2851" operator="containsText" text="100">
      <formula>NOT(ISERROR(SEARCH("100",C130)))</formula>
    </cfRule>
    <cfRule type="containsText" dxfId="872" priority="2849" operator="containsText" text="25">
      <formula>NOT(ISERROR(SEARCH("25",C130)))</formula>
    </cfRule>
    <cfRule type="containsText" dxfId="871" priority="2852" operator="containsText" text="75">
      <formula>NOT(ISERROR(SEARCH("75",C130)))</formula>
    </cfRule>
  </conditionalFormatting>
  <conditionalFormatting sqref="C136:C139">
    <cfRule type="containsText" dxfId="870" priority="2846" operator="containsText" text="50">
      <formula>NOT(ISERROR(SEARCH("50",C136)))</formula>
    </cfRule>
    <cfRule type="containsText" dxfId="869" priority="2848" operator="containsText" text="75">
      <formula>NOT(ISERROR(SEARCH("75",C136)))</formula>
    </cfRule>
    <cfRule type="containsText" dxfId="868" priority="2847" operator="containsText" text="100">
      <formula>NOT(ISERROR(SEARCH("100",C136)))</formula>
    </cfRule>
    <cfRule type="containsText" dxfId="867" priority="2845" operator="containsText" text="25">
      <formula>NOT(ISERROR(SEARCH("25",C136)))</formula>
    </cfRule>
  </conditionalFormatting>
  <conditionalFormatting sqref="C142:C145">
    <cfRule type="containsText" dxfId="866" priority="2841" operator="containsText" text="25">
      <formula>NOT(ISERROR(SEARCH("25",C142)))</formula>
    </cfRule>
    <cfRule type="containsText" dxfId="865" priority="2844" operator="containsText" text="75">
      <formula>NOT(ISERROR(SEARCH("75",C142)))</formula>
    </cfRule>
    <cfRule type="containsText" dxfId="864" priority="2843" operator="containsText" text="100">
      <formula>NOT(ISERROR(SEARCH("100",C142)))</formula>
    </cfRule>
    <cfRule type="containsText" dxfId="863" priority="2842" operator="containsText" text="50">
      <formula>NOT(ISERROR(SEARCH("50",C142)))</formula>
    </cfRule>
  </conditionalFormatting>
  <conditionalFormatting sqref="C148:C151">
    <cfRule type="containsText" dxfId="862" priority="2837" operator="containsText" text="25">
      <formula>NOT(ISERROR(SEARCH("25",C148)))</formula>
    </cfRule>
    <cfRule type="containsText" dxfId="861" priority="2840" operator="containsText" text="75">
      <formula>NOT(ISERROR(SEARCH("75",C148)))</formula>
    </cfRule>
    <cfRule type="containsText" dxfId="860" priority="2839" operator="containsText" text="100">
      <formula>NOT(ISERROR(SEARCH("100",C148)))</formula>
    </cfRule>
    <cfRule type="containsText" dxfId="859" priority="2838" operator="containsText" text="50">
      <formula>NOT(ISERROR(SEARCH("50",C148)))</formula>
    </cfRule>
  </conditionalFormatting>
  <conditionalFormatting sqref="C154:C157">
    <cfRule type="containsText" dxfId="858" priority="2836" operator="containsText" text="75">
      <formula>NOT(ISERROR(SEARCH("75",C154)))</formula>
    </cfRule>
    <cfRule type="containsText" dxfId="857" priority="2835" operator="containsText" text="100">
      <formula>NOT(ISERROR(SEARCH("100",C154)))</formula>
    </cfRule>
    <cfRule type="containsText" dxfId="856" priority="2834" operator="containsText" text="50">
      <formula>NOT(ISERROR(SEARCH("50",C154)))</formula>
    </cfRule>
    <cfRule type="containsText" dxfId="855" priority="2833" operator="containsText" text="25">
      <formula>NOT(ISERROR(SEARCH("25",C154)))</formula>
    </cfRule>
  </conditionalFormatting>
  <conditionalFormatting sqref="C160:C163">
    <cfRule type="containsText" dxfId="854" priority="2832" operator="containsText" text="75">
      <formula>NOT(ISERROR(SEARCH("75",C160)))</formula>
    </cfRule>
    <cfRule type="containsText" dxfId="853" priority="2831" operator="containsText" text="100">
      <formula>NOT(ISERROR(SEARCH("100",C160)))</formula>
    </cfRule>
    <cfRule type="containsText" dxfId="852" priority="2830" operator="containsText" text="50">
      <formula>NOT(ISERROR(SEARCH("50",C160)))</formula>
    </cfRule>
    <cfRule type="containsText" dxfId="851" priority="2829" operator="containsText" text="25">
      <formula>NOT(ISERROR(SEARCH("25",C160)))</formula>
    </cfRule>
  </conditionalFormatting>
  <conditionalFormatting sqref="C166:C169">
    <cfRule type="containsText" dxfId="850" priority="2828" operator="containsText" text="75">
      <formula>NOT(ISERROR(SEARCH("75",C166)))</formula>
    </cfRule>
    <cfRule type="containsText" dxfId="849" priority="2827" operator="containsText" text="100">
      <formula>NOT(ISERROR(SEARCH("100",C166)))</formula>
    </cfRule>
    <cfRule type="containsText" dxfId="848" priority="2826" operator="containsText" text="50">
      <formula>NOT(ISERROR(SEARCH("50",C166)))</formula>
    </cfRule>
    <cfRule type="containsText" dxfId="847" priority="2825" operator="containsText" text="25">
      <formula>NOT(ISERROR(SEARCH("25",C166)))</formula>
    </cfRule>
  </conditionalFormatting>
  <conditionalFormatting sqref="C172:C175">
    <cfRule type="containsText" dxfId="846" priority="2821" operator="containsText" text="25">
      <formula>NOT(ISERROR(SEARCH("25",C172)))</formula>
    </cfRule>
    <cfRule type="containsText" dxfId="845" priority="2822" operator="containsText" text="50">
      <formula>NOT(ISERROR(SEARCH("50",C172)))</formula>
    </cfRule>
    <cfRule type="containsText" dxfId="844" priority="2823" operator="containsText" text="100">
      <formula>NOT(ISERROR(SEARCH("100",C172)))</formula>
    </cfRule>
    <cfRule type="containsText" dxfId="843" priority="2824" operator="containsText" text="75">
      <formula>NOT(ISERROR(SEARCH("75",C172)))</formula>
    </cfRule>
  </conditionalFormatting>
  <conditionalFormatting sqref="C178:C181">
    <cfRule type="containsText" dxfId="842" priority="2817" operator="containsText" text="25">
      <formula>NOT(ISERROR(SEARCH("25",C178)))</formula>
    </cfRule>
    <cfRule type="containsText" dxfId="841" priority="2818" operator="containsText" text="50">
      <formula>NOT(ISERROR(SEARCH("50",C178)))</formula>
    </cfRule>
    <cfRule type="containsText" dxfId="840" priority="2819" operator="containsText" text="100">
      <formula>NOT(ISERROR(SEARCH("100",C178)))</formula>
    </cfRule>
    <cfRule type="containsText" dxfId="839" priority="2820" operator="containsText" text="75">
      <formula>NOT(ISERROR(SEARCH("75",C178)))</formula>
    </cfRule>
  </conditionalFormatting>
  <conditionalFormatting sqref="C184:C187">
    <cfRule type="containsText" dxfId="838" priority="2814" operator="containsText" text="50">
      <formula>NOT(ISERROR(SEARCH("50",C184)))</formula>
    </cfRule>
    <cfRule type="containsText" dxfId="837" priority="2815" operator="containsText" text="100">
      <formula>NOT(ISERROR(SEARCH("100",C184)))</formula>
    </cfRule>
    <cfRule type="containsText" dxfId="836" priority="2813" operator="containsText" text="25">
      <formula>NOT(ISERROR(SEARCH("25",C184)))</formula>
    </cfRule>
    <cfRule type="containsText" dxfId="835" priority="2816" operator="containsText" text="75">
      <formula>NOT(ISERROR(SEARCH("75",C184)))</formula>
    </cfRule>
  </conditionalFormatting>
  <conditionalFormatting sqref="C190:C193">
    <cfRule type="containsText" dxfId="834" priority="2744" operator="containsText" text="75">
      <formula>NOT(ISERROR(SEARCH("75",C190)))</formula>
    </cfRule>
    <cfRule type="containsText" dxfId="833" priority="2743" operator="containsText" text="100">
      <formula>NOT(ISERROR(SEARCH("100",C190)))</formula>
    </cfRule>
    <cfRule type="containsText" dxfId="832" priority="2742" operator="containsText" text="50">
      <formula>NOT(ISERROR(SEARCH("50",C190)))</formula>
    </cfRule>
    <cfRule type="containsText" dxfId="831" priority="2741" operator="containsText" text="25">
      <formula>NOT(ISERROR(SEARCH("25",C190)))</formula>
    </cfRule>
  </conditionalFormatting>
  <conditionalFormatting sqref="C196:C199">
    <cfRule type="containsText" dxfId="830" priority="2812" operator="containsText" text="75">
      <formula>NOT(ISERROR(SEARCH("75",C196)))</formula>
    </cfRule>
    <cfRule type="containsText" dxfId="829" priority="2811" operator="containsText" text="100">
      <formula>NOT(ISERROR(SEARCH("100",C196)))</formula>
    </cfRule>
    <cfRule type="containsText" dxfId="828" priority="2810" operator="containsText" text="50">
      <formula>NOT(ISERROR(SEARCH("50",C196)))</formula>
    </cfRule>
    <cfRule type="containsText" dxfId="827" priority="2809" operator="containsText" text="25">
      <formula>NOT(ISERROR(SEARCH("25",C196)))</formula>
    </cfRule>
  </conditionalFormatting>
  <conditionalFormatting sqref="C202:C205">
    <cfRule type="containsText" dxfId="826" priority="2808" operator="containsText" text="75">
      <formula>NOT(ISERROR(SEARCH("75",C202)))</formula>
    </cfRule>
    <cfRule type="containsText" dxfId="825" priority="2807" operator="containsText" text="100">
      <formula>NOT(ISERROR(SEARCH("100",C202)))</formula>
    </cfRule>
    <cfRule type="containsText" dxfId="824" priority="2806" operator="containsText" text="50">
      <formula>NOT(ISERROR(SEARCH("50",C202)))</formula>
    </cfRule>
    <cfRule type="containsText" dxfId="823" priority="2805" operator="containsText" text="25">
      <formula>NOT(ISERROR(SEARCH("25",C202)))</formula>
    </cfRule>
  </conditionalFormatting>
  <conditionalFormatting sqref="C115:M115">
    <cfRule type="containsText" dxfId="822" priority="560" operator="containsText" text="75">
      <formula>NOT(ISERROR(SEARCH("75",C115)))</formula>
    </cfRule>
    <cfRule type="containsText" dxfId="821" priority="559" operator="containsText" text="100">
      <formula>NOT(ISERROR(SEARCH("100",C115)))</formula>
    </cfRule>
    <cfRule type="containsText" dxfId="820" priority="558" operator="containsText" text="50">
      <formula>NOT(ISERROR(SEARCH("50",C115)))</formula>
    </cfRule>
    <cfRule type="containsText" dxfId="819" priority="557" operator="containsText" text="25">
      <formula>NOT(ISERROR(SEARCH("25",C115)))</formula>
    </cfRule>
  </conditionalFormatting>
  <conditionalFormatting sqref="C16:N17">
    <cfRule type="containsText" dxfId="818" priority="768" operator="containsText" text="75">
      <formula>NOT(ISERROR(SEARCH("75",C16)))</formula>
    </cfRule>
    <cfRule type="containsText" dxfId="817" priority="765" operator="containsText" text="25">
      <formula>NOT(ISERROR(SEARCH("25",C16)))</formula>
    </cfRule>
    <cfRule type="containsText" dxfId="816" priority="766" operator="containsText" text="50">
      <formula>NOT(ISERROR(SEARCH("50",C16)))</formula>
    </cfRule>
    <cfRule type="containsText" dxfId="815" priority="767" operator="containsText" text="100">
      <formula>NOT(ISERROR(SEARCH("100",C16)))</formula>
    </cfRule>
  </conditionalFormatting>
  <conditionalFormatting sqref="C114:U114">
    <cfRule type="containsText" dxfId="814" priority="155" operator="containsText" text="100">
      <formula>NOT(ISERROR(SEARCH("100",C114)))</formula>
    </cfRule>
    <cfRule type="containsText" dxfId="813" priority="156" operator="containsText" text="75">
      <formula>NOT(ISERROR(SEARCH("75",C114)))</formula>
    </cfRule>
    <cfRule type="containsText" dxfId="812" priority="153" operator="containsText" text="25">
      <formula>NOT(ISERROR(SEARCH("25",C114)))</formula>
    </cfRule>
    <cfRule type="containsText" dxfId="811" priority="154" operator="containsText" text="50">
      <formula>NOT(ISERROR(SEARCH("50",C114)))</formula>
    </cfRule>
  </conditionalFormatting>
  <conditionalFormatting sqref="C10:V13">
    <cfRule type="containsText" dxfId="810" priority="440" operator="containsText" text="75">
      <formula>NOT(ISERROR(SEARCH("75",C10)))</formula>
    </cfRule>
    <cfRule type="containsText" dxfId="809" priority="439" operator="containsText" text="100">
      <formula>NOT(ISERROR(SEARCH("100",C10)))</formula>
    </cfRule>
    <cfRule type="containsText" dxfId="808" priority="438" operator="containsText" text="50">
      <formula>NOT(ISERROR(SEARCH("50",C10)))</formula>
    </cfRule>
    <cfRule type="containsText" dxfId="807" priority="437" operator="containsText" text="25">
      <formula>NOT(ISERROR(SEARCH("25",C10)))</formula>
    </cfRule>
  </conditionalFormatting>
  <conditionalFormatting sqref="C76:V76">
    <cfRule type="containsText" dxfId="806" priority="383" operator="containsText" text="100">
      <formula>NOT(ISERROR(SEARCH("100",C76)))</formula>
    </cfRule>
    <cfRule type="containsText" dxfId="805" priority="381" operator="containsText" text="25">
      <formula>NOT(ISERROR(SEARCH("25",C76)))</formula>
    </cfRule>
    <cfRule type="containsText" dxfId="804" priority="382" operator="containsText" text="50">
      <formula>NOT(ISERROR(SEARCH("50",C76)))</formula>
    </cfRule>
    <cfRule type="containsText" dxfId="803" priority="384" operator="containsText" text="75">
      <formula>NOT(ISERROR(SEARCH("75",C76)))</formula>
    </cfRule>
  </conditionalFormatting>
  <conditionalFormatting sqref="C78:V79">
    <cfRule type="containsText" dxfId="802" priority="177" operator="containsText" text="25">
      <formula>NOT(ISERROR(SEARCH("25",C78)))</formula>
    </cfRule>
    <cfRule type="containsText" dxfId="801" priority="178" operator="containsText" text="50">
      <formula>NOT(ISERROR(SEARCH("50",C78)))</formula>
    </cfRule>
    <cfRule type="containsText" dxfId="800" priority="180" operator="containsText" text="75">
      <formula>NOT(ISERROR(SEARCH("75",C78)))</formula>
    </cfRule>
    <cfRule type="containsText" dxfId="799" priority="179" operator="containsText" text="100">
      <formula>NOT(ISERROR(SEARCH("100",C78)))</formula>
    </cfRule>
  </conditionalFormatting>
  <conditionalFormatting sqref="C3:AG9">
    <cfRule type="containsText" dxfId="798" priority="443" operator="containsText" text="100">
      <formula>NOT(ISERROR(SEARCH("100",C3)))</formula>
    </cfRule>
    <cfRule type="containsText" dxfId="797" priority="444" operator="containsText" text="75">
      <formula>NOT(ISERROR(SEARCH("75",C3)))</formula>
    </cfRule>
    <cfRule type="containsText" dxfId="796" priority="441" operator="containsText" text="25">
      <formula>NOT(ISERROR(SEARCH("25",C3)))</formula>
    </cfRule>
    <cfRule type="containsText" dxfId="795" priority="442" operator="containsText" text="50">
      <formula>NOT(ISERROR(SEARCH("50",C3)))</formula>
    </cfRule>
  </conditionalFormatting>
  <conditionalFormatting sqref="C18:BF68">
    <cfRule type="containsText" dxfId="794" priority="3" operator="containsText" text="100">
      <formula>NOT(ISERROR(SEARCH("100",C18)))</formula>
    </cfRule>
    <cfRule type="containsText" dxfId="793" priority="4" operator="containsText" text="75">
      <formula>NOT(ISERROR(SEARCH("75",C18)))</formula>
    </cfRule>
    <cfRule type="containsText" dxfId="792" priority="1" operator="containsText" text="25">
      <formula>NOT(ISERROR(SEARCH("25",C18)))</formula>
    </cfRule>
    <cfRule type="containsText" dxfId="791" priority="2" operator="containsText" text="50">
      <formula>NOT(ISERROR(SEARCH("50",C18)))</formula>
    </cfRule>
  </conditionalFormatting>
  <conditionalFormatting sqref="C70:BF75">
    <cfRule type="containsText" dxfId="790" priority="187" operator="containsText" text="100">
      <formula>NOT(ISERROR(SEARCH("100",C70)))</formula>
    </cfRule>
    <cfRule type="containsText" dxfId="789" priority="186" operator="containsText" text="50">
      <formula>NOT(ISERROR(SEARCH("50",C70)))</formula>
    </cfRule>
    <cfRule type="containsText" dxfId="788" priority="185" operator="containsText" text="25">
      <formula>NOT(ISERROR(SEARCH("25",C70)))</formula>
    </cfRule>
    <cfRule type="containsText" dxfId="787" priority="188" operator="containsText" text="75">
      <formula>NOT(ISERROR(SEARCH("75",C70)))</formula>
    </cfRule>
  </conditionalFormatting>
  <conditionalFormatting sqref="C80:BF113">
    <cfRule type="containsText" dxfId="786" priority="157" operator="containsText" text="25">
      <formula>NOT(ISERROR(SEARCH("25",C80)))</formula>
    </cfRule>
    <cfRule type="containsText" dxfId="785" priority="158" operator="containsText" text="50">
      <formula>NOT(ISERROR(SEARCH("50",C80)))</formula>
    </cfRule>
    <cfRule type="containsText" dxfId="784" priority="160" operator="containsText" text="75">
      <formula>NOT(ISERROR(SEARCH("75",C80)))</formula>
    </cfRule>
    <cfRule type="containsText" dxfId="783" priority="159" operator="containsText" text="100">
      <formula>NOT(ISERROR(SEARCH("100",C80)))</formula>
    </cfRule>
  </conditionalFormatting>
  <conditionalFormatting sqref="D130:D132">
    <cfRule type="containsText" dxfId="782" priority="2598" operator="containsText" text="50">
      <formula>NOT(ISERROR(SEARCH("50",D130)))</formula>
    </cfRule>
    <cfRule type="containsText" dxfId="781" priority="2599" operator="containsText" text="100">
      <formula>NOT(ISERROR(SEARCH("100",D130)))</formula>
    </cfRule>
    <cfRule type="containsText" dxfId="780" priority="2600" operator="containsText" text="75">
      <formula>NOT(ISERROR(SEARCH("75",D130)))</formula>
    </cfRule>
    <cfRule type="containsText" dxfId="779" priority="2597" operator="containsText" text="25">
      <formula>NOT(ISERROR(SEARCH("25",D130)))</formula>
    </cfRule>
  </conditionalFormatting>
  <conditionalFormatting sqref="D136:D138">
    <cfRule type="containsText" dxfId="778" priority="2601" operator="containsText" text="25">
      <formula>NOT(ISERROR(SEARCH("25",D136)))</formula>
    </cfRule>
    <cfRule type="containsText" dxfId="777" priority="2602" operator="containsText" text="50">
      <formula>NOT(ISERROR(SEARCH("50",D136)))</formula>
    </cfRule>
    <cfRule type="containsText" dxfId="776" priority="2604" operator="containsText" text="75">
      <formula>NOT(ISERROR(SEARCH("75",D136)))</formula>
    </cfRule>
    <cfRule type="containsText" dxfId="775" priority="2603" operator="containsText" text="100">
      <formula>NOT(ISERROR(SEARCH("100",D136)))</formula>
    </cfRule>
  </conditionalFormatting>
  <conditionalFormatting sqref="D172:D174">
    <cfRule type="containsText" dxfId="774" priority="2576" operator="containsText" text="75">
      <formula>NOT(ISERROR(SEARCH("75",D172)))</formula>
    </cfRule>
    <cfRule type="containsText" dxfId="773" priority="2575" operator="containsText" text="100">
      <formula>NOT(ISERROR(SEARCH("100",D172)))</formula>
    </cfRule>
    <cfRule type="containsText" dxfId="772" priority="2574" operator="containsText" text="50">
      <formula>NOT(ISERROR(SEARCH("50",D172)))</formula>
    </cfRule>
    <cfRule type="containsText" dxfId="771" priority="2573" operator="containsText" text="25">
      <formula>NOT(ISERROR(SEARCH("25",D172)))</formula>
    </cfRule>
  </conditionalFormatting>
  <conditionalFormatting sqref="D178:D180">
    <cfRule type="containsText" dxfId="770" priority="2572" operator="containsText" text="75">
      <formula>NOT(ISERROR(SEARCH("75",D178)))</formula>
    </cfRule>
    <cfRule type="containsText" dxfId="769" priority="2571" operator="containsText" text="100">
      <formula>NOT(ISERROR(SEARCH("100",D178)))</formula>
    </cfRule>
    <cfRule type="containsText" dxfId="768" priority="2570" operator="containsText" text="50">
      <formula>NOT(ISERROR(SEARCH("50",D178)))</formula>
    </cfRule>
    <cfRule type="containsText" dxfId="767" priority="2569" operator="containsText" text="25">
      <formula>NOT(ISERROR(SEARCH("25",D178)))</formula>
    </cfRule>
  </conditionalFormatting>
  <conditionalFormatting sqref="D184:D186">
    <cfRule type="containsText" dxfId="766" priority="2556" operator="containsText" text="75">
      <formula>NOT(ISERROR(SEARCH("75",D184)))</formula>
    </cfRule>
    <cfRule type="containsText" dxfId="765" priority="2555" operator="containsText" text="100">
      <formula>NOT(ISERROR(SEARCH("100",D184)))</formula>
    </cfRule>
    <cfRule type="containsText" dxfId="764" priority="2554" operator="containsText" text="50">
      <formula>NOT(ISERROR(SEARCH("50",D184)))</formula>
    </cfRule>
    <cfRule type="containsText" dxfId="763" priority="2553" operator="containsText" text="25">
      <formula>NOT(ISERROR(SEARCH("25",D184)))</formula>
    </cfRule>
  </conditionalFormatting>
  <conditionalFormatting sqref="D166:F167">
    <cfRule type="containsText" dxfId="762" priority="2077" operator="containsText" text="25">
      <formula>NOT(ISERROR(SEARCH("25",D166)))</formula>
    </cfRule>
    <cfRule type="containsText" dxfId="761" priority="2078" operator="containsText" text="50">
      <formula>NOT(ISERROR(SEARCH("50",D166)))</formula>
    </cfRule>
    <cfRule type="containsText" dxfId="760" priority="2079" operator="containsText" text="100">
      <formula>NOT(ISERROR(SEARCH("100",D166)))</formula>
    </cfRule>
    <cfRule type="containsText" dxfId="759" priority="2080" operator="containsText" text="75">
      <formula>NOT(ISERROR(SEARCH("75",D166)))</formula>
    </cfRule>
  </conditionalFormatting>
  <conditionalFormatting sqref="D124:G125">
    <cfRule type="containsText" dxfId="758" priority="2041" operator="containsText" text="25">
      <formula>NOT(ISERROR(SEARCH("25",D124)))</formula>
    </cfRule>
    <cfRule type="containsText" dxfId="757" priority="2042" operator="containsText" text="50">
      <formula>NOT(ISERROR(SEARCH("50",D124)))</formula>
    </cfRule>
    <cfRule type="containsText" dxfId="756" priority="2043" operator="containsText" text="100">
      <formula>NOT(ISERROR(SEARCH("100",D124)))</formula>
    </cfRule>
    <cfRule type="containsText" dxfId="755" priority="2044" operator="containsText" text="75">
      <formula>NOT(ISERROR(SEARCH("75",D124)))</formula>
    </cfRule>
  </conditionalFormatting>
  <conditionalFormatting sqref="D142:G143">
    <cfRule type="containsText" dxfId="754" priority="2031" operator="containsText" text="100">
      <formula>NOT(ISERROR(SEARCH("100",D142)))</formula>
    </cfRule>
    <cfRule type="containsText" dxfId="753" priority="2029" operator="containsText" text="25">
      <formula>NOT(ISERROR(SEARCH("25",D142)))</formula>
    </cfRule>
    <cfRule type="containsText" dxfId="752" priority="2030" operator="containsText" text="50">
      <formula>NOT(ISERROR(SEARCH("50",D142)))</formula>
    </cfRule>
    <cfRule type="containsText" dxfId="751" priority="2032" operator="containsText" text="75">
      <formula>NOT(ISERROR(SEARCH("75",D142)))</formula>
    </cfRule>
  </conditionalFormatting>
  <conditionalFormatting sqref="D148:G149">
    <cfRule type="containsText" dxfId="750" priority="2028" operator="containsText" text="75">
      <formula>NOT(ISERROR(SEARCH("75",D148)))</formula>
    </cfRule>
    <cfRule type="containsText" dxfId="749" priority="2027" operator="containsText" text="100">
      <formula>NOT(ISERROR(SEARCH("100",D148)))</formula>
    </cfRule>
    <cfRule type="containsText" dxfId="748" priority="2026" operator="containsText" text="50">
      <formula>NOT(ISERROR(SEARCH("50",D148)))</formula>
    </cfRule>
    <cfRule type="containsText" dxfId="747" priority="2025" operator="containsText" text="25">
      <formula>NOT(ISERROR(SEARCH("25",D148)))</formula>
    </cfRule>
  </conditionalFormatting>
  <conditionalFormatting sqref="D154:G155">
    <cfRule type="containsText" dxfId="746" priority="2022" operator="containsText" text="50">
      <formula>NOT(ISERROR(SEARCH("50",D154)))</formula>
    </cfRule>
    <cfRule type="containsText" dxfId="745" priority="2021" operator="containsText" text="25">
      <formula>NOT(ISERROR(SEARCH("25",D154)))</formula>
    </cfRule>
    <cfRule type="containsText" dxfId="744" priority="2023" operator="containsText" text="100">
      <formula>NOT(ISERROR(SEARCH("100",D154)))</formula>
    </cfRule>
    <cfRule type="containsText" dxfId="743" priority="2024" operator="containsText" text="75">
      <formula>NOT(ISERROR(SEARCH("75",D154)))</formula>
    </cfRule>
  </conditionalFormatting>
  <conditionalFormatting sqref="D160:G161">
    <cfRule type="containsText" dxfId="742" priority="2018" operator="containsText" text="50">
      <formula>NOT(ISERROR(SEARCH("50",D160)))</formula>
    </cfRule>
    <cfRule type="containsText" dxfId="741" priority="2017" operator="containsText" text="25">
      <formula>NOT(ISERROR(SEARCH("25",D160)))</formula>
    </cfRule>
    <cfRule type="containsText" dxfId="740" priority="2020" operator="containsText" text="75">
      <formula>NOT(ISERROR(SEARCH("75",D160)))</formula>
    </cfRule>
    <cfRule type="containsText" dxfId="739" priority="2019" operator="containsText" text="100">
      <formula>NOT(ISERROR(SEARCH("100",D160)))</formula>
    </cfRule>
  </conditionalFormatting>
  <conditionalFormatting sqref="D190:G191">
    <cfRule type="containsText" dxfId="738" priority="2003" operator="containsText" text="100">
      <formula>NOT(ISERROR(SEARCH("100",D190)))</formula>
    </cfRule>
    <cfRule type="containsText" dxfId="737" priority="2004" operator="containsText" text="75">
      <formula>NOT(ISERROR(SEARCH("75",D190)))</formula>
    </cfRule>
    <cfRule type="containsText" dxfId="736" priority="2002" operator="containsText" text="50">
      <formula>NOT(ISERROR(SEARCH("50",D190)))</formula>
    </cfRule>
    <cfRule type="containsText" dxfId="735" priority="2001" operator="containsText" text="25">
      <formula>NOT(ISERROR(SEARCH("25",D190)))</formula>
    </cfRule>
  </conditionalFormatting>
  <conditionalFormatting sqref="D196:G197">
    <cfRule type="containsText" dxfId="734" priority="1998" operator="containsText" text="50">
      <formula>NOT(ISERROR(SEARCH("50",D196)))</formula>
    </cfRule>
    <cfRule type="containsText" dxfId="733" priority="1997" operator="containsText" text="25">
      <formula>NOT(ISERROR(SEARCH("25",D196)))</formula>
    </cfRule>
    <cfRule type="containsText" dxfId="732" priority="2000" operator="containsText" text="75">
      <formula>NOT(ISERROR(SEARCH("75",D196)))</formula>
    </cfRule>
    <cfRule type="containsText" dxfId="731" priority="1999" operator="containsText" text="100">
      <formula>NOT(ISERROR(SEARCH("100",D196)))</formula>
    </cfRule>
  </conditionalFormatting>
  <conditionalFormatting sqref="D202:G203">
    <cfRule type="containsText" dxfId="730" priority="1996" operator="containsText" text="75">
      <formula>NOT(ISERROR(SEARCH("75",D202)))</formula>
    </cfRule>
    <cfRule type="containsText" dxfId="729" priority="1995" operator="containsText" text="100">
      <formula>NOT(ISERROR(SEARCH("100",D202)))</formula>
    </cfRule>
    <cfRule type="containsText" dxfId="728" priority="1994" operator="containsText" text="50">
      <formula>NOT(ISERROR(SEARCH("50",D202)))</formula>
    </cfRule>
    <cfRule type="containsText" dxfId="727" priority="1993" operator="containsText" text="25">
      <formula>NOT(ISERROR(SEARCH("25",D202)))</formula>
    </cfRule>
  </conditionalFormatting>
  <conditionalFormatting sqref="D208:G209">
    <cfRule type="containsText" dxfId="726" priority="1990" operator="containsText" text="50">
      <formula>NOT(ISERROR(SEARCH("50",D208)))</formula>
    </cfRule>
    <cfRule type="containsText" dxfId="725" priority="1992" operator="containsText" text="75">
      <formula>NOT(ISERROR(SEARCH("75",D208)))</formula>
    </cfRule>
    <cfRule type="containsText" dxfId="724" priority="1991" operator="containsText" text="100">
      <formula>NOT(ISERROR(SEARCH("100",D208)))</formula>
    </cfRule>
    <cfRule type="containsText" dxfId="723" priority="1989" operator="containsText" text="25">
      <formula>NOT(ISERROR(SEARCH("25",D208)))</formula>
    </cfRule>
  </conditionalFormatting>
  <conditionalFormatting sqref="D118:J119">
    <cfRule type="containsText" dxfId="722" priority="915" operator="containsText" text="100">
      <formula>NOT(ISERROR(SEARCH("100",D118)))</formula>
    </cfRule>
    <cfRule type="containsText" dxfId="721" priority="913" operator="containsText" text="25">
      <formula>NOT(ISERROR(SEARCH("25",D118)))</formula>
    </cfRule>
    <cfRule type="containsText" dxfId="720" priority="914" operator="containsText" text="50">
      <formula>NOT(ISERROR(SEARCH("50",D118)))</formula>
    </cfRule>
    <cfRule type="containsText" dxfId="719" priority="916" operator="containsText" text="75">
      <formula>NOT(ISERROR(SEARCH("75",D118)))</formula>
    </cfRule>
  </conditionalFormatting>
  <conditionalFormatting sqref="E120:E121">
    <cfRule type="containsText" dxfId="718" priority="1845" operator="containsText" text="25">
      <formula>NOT(ISERROR(SEARCH("25",E120)))</formula>
    </cfRule>
    <cfRule type="containsText" dxfId="717" priority="1846" operator="containsText" text="50">
      <formula>NOT(ISERROR(SEARCH("50",E120)))</formula>
    </cfRule>
    <cfRule type="containsText" dxfId="716" priority="1848" operator="containsText" text="75">
      <formula>NOT(ISERROR(SEARCH("75",E120)))</formula>
    </cfRule>
    <cfRule type="containsText" dxfId="715" priority="1847" operator="containsText" text="100">
      <formula>NOT(ISERROR(SEARCH("100",E120)))</formula>
    </cfRule>
  </conditionalFormatting>
  <conditionalFormatting sqref="E126:E127">
    <cfRule type="containsText" dxfId="714" priority="1841" operator="containsText" text="25">
      <formula>NOT(ISERROR(SEARCH("25",E126)))</formula>
    </cfRule>
    <cfRule type="containsText" dxfId="713" priority="1843" operator="containsText" text="100">
      <formula>NOT(ISERROR(SEARCH("100",E126)))</formula>
    </cfRule>
    <cfRule type="containsText" dxfId="712" priority="1844" operator="containsText" text="75">
      <formula>NOT(ISERROR(SEARCH("75",E126)))</formula>
    </cfRule>
    <cfRule type="containsText" dxfId="711" priority="1842" operator="containsText" text="50">
      <formula>NOT(ISERROR(SEARCH("50",E126)))</formula>
    </cfRule>
  </conditionalFormatting>
  <conditionalFormatting sqref="E132">
    <cfRule type="containsText" dxfId="710" priority="1840" operator="containsText" text="75">
      <formula>NOT(ISERROR(SEARCH("75",E132)))</formula>
    </cfRule>
    <cfRule type="containsText" dxfId="709" priority="1837" operator="containsText" text="25">
      <formula>NOT(ISERROR(SEARCH("25",E132)))</formula>
    </cfRule>
    <cfRule type="containsText" dxfId="708" priority="1838" operator="containsText" text="50">
      <formula>NOT(ISERROR(SEARCH("50",E132)))</formula>
    </cfRule>
    <cfRule type="containsText" dxfId="707" priority="1839" operator="containsText" text="100">
      <formula>NOT(ISERROR(SEARCH("100",E132)))</formula>
    </cfRule>
  </conditionalFormatting>
  <conditionalFormatting sqref="E138:E139">
    <cfRule type="containsText" dxfId="706" priority="1833" operator="containsText" text="25">
      <formula>NOT(ISERROR(SEARCH("25",E138)))</formula>
    </cfRule>
    <cfRule type="containsText" dxfId="705" priority="1834" operator="containsText" text="50">
      <formula>NOT(ISERROR(SEARCH("50",E138)))</formula>
    </cfRule>
    <cfRule type="containsText" dxfId="704" priority="1835" operator="containsText" text="100">
      <formula>NOT(ISERROR(SEARCH("100",E138)))</formula>
    </cfRule>
    <cfRule type="containsText" dxfId="703" priority="1836" operator="containsText" text="75">
      <formula>NOT(ISERROR(SEARCH("75",E138)))</formula>
    </cfRule>
  </conditionalFormatting>
  <conditionalFormatting sqref="E144:E145">
    <cfRule type="containsText" dxfId="702" priority="1830" operator="containsText" text="50">
      <formula>NOT(ISERROR(SEARCH("50",E144)))</formula>
    </cfRule>
    <cfRule type="containsText" dxfId="701" priority="1831" operator="containsText" text="100">
      <formula>NOT(ISERROR(SEARCH("100",E144)))</formula>
    </cfRule>
    <cfRule type="containsText" dxfId="700" priority="1832" operator="containsText" text="75">
      <formula>NOT(ISERROR(SEARCH("75",E144)))</formula>
    </cfRule>
    <cfRule type="containsText" dxfId="699" priority="1829" operator="containsText" text="25">
      <formula>NOT(ISERROR(SEARCH("25",E144)))</formula>
    </cfRule>
  </conditionalFormatting>
  <conditionalFormatting sqref="E151">
    <cfRule type="containsText" dxfId="698" priority="2525" operator="containsText" text="25">
      <formula>NOT(ISERROR(SEARCH("25",E151)))</formula>
    </cfRule>
    <cfRule type="containsText" dxfId="697" priority="2526" operator="containsText" text="50">
      <formula>NOT(ISERROR(SEARCH("50",E151)))</formula>
    </cfRule>
    <cfRule type="containsText" dxfId="696" priority="2527" operator="containsText" text="100">
      <formula>NOT(ISERROR(SEARCH("100",E151)))</formula>
    </cfRule>
    <cfRule type="containsText" dxfId="695" priority="2528" operator="containsText" text="75">
      <formula>NOT(ISERROR(SEARCH("75",E151)))</formula>
    </cfRule>
  </conditionalFormatting>
  <conditionalFormatting sqref="E156:E157 E162">
    <cfRule type="containsText" dxfId="694" priority="1821" operator="containsText" text="25">
      <formula>NOT(ISERROR(SEARCH("25",E156)))</formula>
    </cfRule>
    <cfRule type="containsText" dxfId="693" priority="1822" operator="containsText" text="50">
      <formula>NOT(ISERROR(SEARCH("50",E156)))</formula>
    </cfRule>
    <cfRule type="containsText" dxfId="692" priority="1824" operator="containsText" text="75">
      <formula>NOT(ISERROR(SEARCH("75",E156)))</formula>
    </cfRule>
    <cfRule type="containsText" dxfId="691" priority="1823" operator="containsText" text="100">
      <formula>NOT(ISERROR(SEARCH("100",E156)))</formula>
    </cfRule>
  </conditionalFormatting>
  <conditionalFormatting sqref="E168:E169">
    <cfRule type="containsText" dxfId="690" priority="1817" operator="containsText" text="25">
      <formula>NOT(ISERROR(SEARCH("25",E168)))</formula>
    </cfRule>
    <cfRule type="containsText" dxfId="689" priority="1819" operator="containsText" text="100">
      <formula>NOT(ISERROR(SEARCH("100",E168)))</formula>
    </cfRule>
    <cfRule type="containsText" dxfId="688" priority="1820" operator="containsText" text="75">
      <formula>NOT(ISERROR(SEARCH("75",E168)))</formula>
    </cfRule>
    <cfRule type="containsText" dxfId="687" priority="1818" operator="containsText" text="50">
      <formula>NOT(ISERROR(SEARCH("50",E168)))</formula>
    </cfRule>
  </conditionalFormatting>
  <conditionalFormatting sqref="E174:E175">
    <cfRule type="containsText" dxfId="686" priority="1815" operator="containsText" text="100">
      <formula>NOT(ISERROR(SEARCH("100",E174)))</formula>
    </cfRule>
    <cfRule type="containsText" dxfId="685" priority="1816" operator="containsText" text="75">
      <formula>NOT(ISERROR(SEARCH("75",E174)))</formula>
    </cfRule>
    <cfRule type="containsText" dxfId="684" priority="1813" operator="containsText" text="25">
      <formula>NOT(ISERROR(SEARCH("25",E174)))</formula>
    </cfRule>
    <cfRule type="containsText" dxfId="683" priority="1814" operator="containsText" text="50">
      <formula>NOT(ISERROR(SEARCH("50",E174)))</formula>
    </cfRule>
  </conditionalFormatting>
  <conditionalFormatting sqref="E180:E181">
    <cfRule type="containsText" dxfId="682" priority="2521" operator="containsText" text="25">
      <formula>NOT(ISERROR(SEARCH("25",E180)))</formula>
    </cfRule>
    <cfRule type="containsText" dxfId="681" priority="2522" operator="containsText" text="50">
      <formula>NOT(ISERROR(SEARCH("50",E180)))</formula>
    </cfRule>
    <cfRule type="containsText" dxfId="680" priority="2523" operator="containsText" text="100">
      <formula>NOT(ISERROR(SEARCH("100",E180)))</formula>
    </cfRule>
    <cfRule type="containsText" dxfId="679" priority="2524" operator="containsText" text="75">
      <formula>NOT(ISERROR(SEARCH("75",E180)))</formula>
    </cfRule>
  </conditionalFormatting>
  <conditionalFormatting sqref="E187">
    <cfRule type="containsText" dxfId="678" priority="2520" operator="containsText" text="75">
      <formula>NOT(ISERROR(SEARCH("75",E187)))</formula>
    </cfRule>
    <cfRule type="containsText" dxfId="677" priority="2519" operator="containsText" text="100">
      <formula>NOT(ISERROR(SEARCH("100",E187)))</formula>
    </cfRule>
    <cfRule type="containsText" dxfId="676" priority="2518" operator="containsText" text="50">
      <formula>NOT(ISERROR(SEARCH("50",E187)))</formula>
    </cfRule>
    <cfRule type="containsText" dxfId="675" priority="2517" operator="containsText" text="25">
      <formula>NOT(ISERROR(SEARCH("25",E187)))</formula>
    </cfRule>
  </conditionalFormatting>
  <conditionalFormatting sqref="E192:E193">
    <cfRule type="containsText" dxfId="674" priority="1910" operator="containsText" text="50">
      <formula>NOT(ISERROR(SEARCH("50",E192)))</formula>
    </cfRule>
    <cfRule type="containsText" dxfId="673" priority="1911" operator="containsText" text="100">
      <formula>NOT(ISERROR(SEARCH("100",E192)))</formula>
    </cfRule>
    <cfRule type="containsText" dxfId="672" priority="1912" operator="containsText" text="75">
      <formula>NOT(ISERROR(SEARCH("75",E192)))</formula>
    </cfRule>
    <cfRule type="containsText" dxfId="671" priority="1909" operator="containsText" text="25">
      <formula>NOT(ISERROR(SEARCH("25",E192)))</formula>
    </cfRule>
  </conditionalFormatting>
  <conditionalFormatting sqref="E198:E199">
    <cfRule type="containsText" dxfId="670" priority="1918" operator="containsText" text="50">
      <formula>NOT(ISERROR(SEARCH("50",E198)))</formula>
    </cfRule>
    <cfRule type="containsText" dxfId="669" priority="1920" operator="containsText" text="75">
      <formula>NOT(ISERROR(SEARCH("75",E198)))</formula>
    </cfRule>
    <cfRule type="containsText" dxfId="668" priority="1919" operator="containsText" text="100">
      <formula>NOT(ISERROR(SEARCH("100",E198)))</formula>
    </cfRule>
    <cfRule type="containsText" dxfId="667" priority="1917" operator="containsText" text="25">
      <formula>NOT(ISERROR(SEARCH("25",E198)))</formula>
    </cfRule>
  </conditionalFormatting>
  <conditionalFormatting sqref="E205">
    <cfRule type="containsText" dxfId="666" priority="2508" operator="containsText" text="75">
      <formula>NOT(ISERROR(SEARCH("75",E205)))</formula>
    </cfRule>
    <cfRule type="containsText" dxfId="665" priority="2507" operator="containsText" text="100">
      <formula>NOT(ISERROR(SEARCH("100",E205)))</formula>
    </cfRule>
    <cfRule type="containsText" dxfId="664" priority="2506" operator="containsText" text="50">
      <formula>NOT(ISERROR(SEARCH("50",E205)))</formula>
    </cfRule>
    <cfRule type="containsText" dxfId="663" priority="2505" operator="containsText" text="25">
      <formula>NOT(ISERROR(SEARCH("25",E205)))</formula>
    </cfRule>
  </conditionalFormatting>
  <conditionalFormatting sqref="E211">
    <cfRule type="containsText" dxfId="662" priority="2490" operator="containsText" text="50">
      <formula>NOT(ISERROR(SEARCH("50",E211)))</formula>
    </cfRule>
    <cfRule type="containsText" dxfId="661" priority="2489" operator="containsText" text="25">
      <formula>NOT(ISERROR(SEARCH("25",E211)))</formula>
    </cfRule>
    <cfRule type="containsText" dxfId="660" priority="2491" operator="containsText" text="100">
      <formula>NOT(ISERROR(SEARCH("100",E211)))</formula>
    </cfRule>
    <cfRule type="containsText" dxfId="659" priority="2492" operator="containsText" text="75">
      <formula>NOT(ISERROR(SEARCH("75",E211)))</formula>
    </cfRule>
  </conditionalFormatting>
  <conditionalFormatting sqref="E172:F173">
    <cfRule type="containsText" dxfId="658" priority="2073" operator="containsText" text="25">
      <formula>NOT(ISERROR(SEARCH("25",E172)))</formula>
    </cfRule>
    <cfRule type="containsText" dxfId="657" priority="2074" operator="containsText" text="50">
      <formula>NOT(ISERROR(SEARCH("50",E172)))</formula>
    </cfRule>
    <cfRule type="containsText" dxfId="656" priority="2075" operator="containsText" text="100">
      <formula>NOT(ISERROR(SEARCH("100",E172)))</formula>
    </cfRule>
    <cfRule type="containsText" dxfId="655" priority="2076" operator="containsText" text="75">
      <formula>NOT(ISERROR(SEARCH("75",E172)))</formula>
    </cfRule>
  </conditionalFormatting>
  <conditionalFormatting sqref="E130:G131">
    <cfRule type="containsText" dxfId="654" priority="2037" operator="containsText" text="25">
      <formula>NOT(ISERROR(SEARCH("25",E130)))</formula>
    </cfRule>
    <cfRule type="containsText" dxfId="653" priority="2038" operator="containsText" text="50">
      <formula>NOT(ISERROR(SEARCH("50",E130)))</formula>
    </cfRule>
    <cfRule type="containsText" dxfId="652" priority="2039" operator="containsText" text="100">
      <formula>NOT(ISERROR(SEARCH("100",E130)))</formula>
    </cfRule>
    <cfRule type="containsText" dxfId="651" priority="2040" operator="containsText" text="75">
      <formula>NOT(ISERROR(SEARCH("75",E130)))</formula>
    </cfRule>
  </conditionalFormatting>
  <conditionalFormatting sqref="E133:G133">
    <cfRule type="containsText" dxfId="650" priority="2436" operator="containsText" text="75">
      <formula>NOT(ISERROR(SEARCH("75",E133)))</formula>
    </cfRule>
    <cfRule type="containsText" dxfId="649" priority="2435" operator="containsText" text="100">
      <formula>NOT(ISERROR(SEARCH("100",E133)))</formula>
    </cfRule>
    <cfRule type="containsText" dxfId="648" priority="2433" operator="containsText" text="25">
      <formula>NOT(ISERROR(SEARCH("25",E133)))</formula>
    </cfRule>
    <cfRule type="containsText" dxfId="647" priority="2434" operator="containsText" text="50">
      <formula>NOT(ISERROR(SEARCH("50",E133)))</formula>
    </cfRule>
  </conditionalFormatting>
  <conditionalFormatting sqref="E136:G137">
    <cfRule type="containsText" dxfId="646" priority="2033" operator="containsText" text="25">
      <formula>NOT(ISERROR(SEARCH("25",E136)))</formula>
    </cfRule>
    <cfRule type="containsText" dxfId="645" priority="2034" operator="containsText" text="50">
      <formula>NOT(ISERROR(SEARCH("50",E136)))</formula>
    </cfRule>
    <cfRule type="containsText" dxfId="644" priority="2035" operator="containsText" text="100">
      <formula>NOT(ISERROR(SEARCH("100",E136)))</formula>
    </cfRule>
    <cfRule type="containsText" dxfId="643" priority="2036" operator="containsText" text="75">
      <formula>NOT(ISERROR(SEARCH("75",E136)))</formula>
    </cfRule>
  </conditionalFormatting>
  <conditionalFormatting sqref="E178:G179">
    <cfRule type="containsText" dxfId="642" priority="2069" operator="containsText" text="25">
      <formula>NOT(ISERROR(SEARCH("25",E178)))</formula>
    </cfRule>
    <cfRule type="containsText" dxfId="641" priority="2070" operator="containsText" text="50">
      <formula>NOT(ISERROR(SEARCH("50",E178)))</formula>
    </cfRule>
    <cfRule type="containsText" dxfId="640" priority="2071" operator="containsText" text="100">
      <formula>NOT(ISERROR(SEARCH("100",E178)))</formula>
    </cfRule>
    <cfRule type="containsText" dxfId="639" priority="2072" operator="containsText" text="75">
      <formula>NOT(ISERROR(SEARCH("75",E178)))</formula>
    </cfRule>
  </conditionalFormatting>
  <conditionalFormatting sqref="E184:G185">
    <cfRule type="containsText" dxfId="638" priority="2011" operator="containsText" text="100">
      <formula>NOT(ISERROR(SEARCH("100",E184)))</formula>
    </cfRule>
    <cfRule type="containsText" dxfId="637" priority="2012" operator="containsText" text="75">
      <formula>NOT(ISERROR(SEARCH("75",E184)))</formula>
    </cfRule>
    <cfRule type="containsText" dxfId="636" priority="2010" operator="containsText" text="50">
      <formula>NOT(ISERROR(SEARCH("50",E184)))</formula>
    </cfRule>
    <cfRule type="containsText" dxfId="635" priority="2009" operator="containsText" text="25">
      <formula>NOT(ISERROR(SEARCH("25",E184)))</formula>
    </cfRule>
  </conditionalFormatting>
  <conditionalFormatting sqref="G120:G121">
    <cfRule type="containsText" dxfId="634" priority="1810" operator="containsText" text="50">
      <formula>NOT(ISERROR(SEARCH("50",G120)))</formula>
    </cfRule>
    <cfRule type="containsText" dxfId="633" priority="1811" operator="containsText" text="100">
      <formula>NOT(ISERROR(SEARCH("100",G120)))</formula>
    </cfRule>
    <cfRule type="containsText" dxfId="632" priority="1812" operator="containsText" text="75">
      <formula>NOT(ISERROR(SEARCH("75",G120)))</formula>
    </cfRule>
    <cfRule type="containsText" dxfId="631" priority="1809" operator="containsText" text="25">
      <formula>NOT(ISERROR(SEARCH("25",G120)))</formula>
    </cfRule>
  </conditionalFormatting>
  <conditionalFormatting sqref="G126">
    <cfRule type="containsText" dxfId="630" priority="1886" operator="containsText" text="50">
      <formula>NOT(ISERROR(SEARCH("50",G126)))</formula>
    </cfRule>
    <cfRule type="containsText" dxfId="629" priority="1888" operator="containsText" text="75">
      <formula>NOT(ISERROR(SEARCH("75",G126)))</formula>
    </cfRule>
    <cfRule type="containsText" dxfId="628" priority="1887" operator="containsText" text="100">
      <formula>NOT(ISERROR(SEARCH("100",G126)))</formula>
    </cfRule>
    <cfRule type="containsText" dxfId="627" priority="1885" operator="containsText" text="25">
      <formula>NOT(ISERROR(SEARCH("25",G126)))</formula>
    </cfRule>
  </conditionalFormatting>
  <conditionalFormatting sqref="G132">
    <cfRule type="containsText" dxfId="626" priority="1889" operator="containsText" text="25">
      <formula>NOT(ISERROR(SEARCH("25",G132)))</formula>
    </cfRule>
    <cfRule type="containsText" dxfId="625" priority="1890" operator="containsText" text="50">
      <formula>NOT(ISERROR(SEARCH("50",G132)))</formula>
    </cfRule>
    <cfRule type="containsText" dxfId="624" priority="1891" operator="containsText" text="100">
      <formula>NOT(ISERROR(SEARCH("100",G132)))</formula>
    </cfRule>
    <cfRule type="containsText" dxfId="623" priority="1892" operator="containsText" text="75">
      <formula>NOT(ISERROR(SEARCH("75",G132)))</formula>
    </cfRule>
  </conditionalFormatting>
  <conditionalFormatting sqref="G144:G145">
    <cfRule type="containsText" dxfId="622" priority="1873" operator="containsText" text="25">
      <formula>NOT(ISERROR(SEARCH("25",G144)))</formula>
    </cfRule>
    <cfRule type="containsText" dxfId="621" priority="1874" operator="containsText" text="50">
      <formula>NOT(ISERROR(SEARCH("50",G144)))</formula>
    </cfRule>
    <cfRule type="containsText" dxfId="620" priority="1875" operator="containsText" text="100">
      <formula>NOT(ISERROR(SEARCH("100",G144)))</formula>
    </cfRule>
    <cfRule type="containsText" dxfId="619" priority="1876" operator="containsText" text="75">
      <formula>NOT(ISERROR(SEARCH("75",G144)))</formula>
    </cfRule>
  </conditionalFormatting>
  <conditionalFormatting sqref="G150">
    <cfRule type="containsText" dxfId="618" priority="1869" operator="containsText" text="25">
      <formula>NOT(ISERROR(SEARCH("25",G150)))</formula>
    </cfRule>
    <cfRule type="containsText" dxfId="617" priority="1870" operator="containsText" text="50">
      <formula>NOT(ISERROR(SEARCH("50",G150)))</formula>
    </cfRule>
    <cfRule type="containsText" dxfId="616" priority="1871" operator="containsText" text="100">
      <formula>NOT(ISERROR(SEARCH("100",G150)))</formula>
    </cfRule>
    <cfRule type="containsText" dxfId="615" priority="1872" operator="containsText" text="75">
      <formula>NOT(ISERROR(SEARCH("75",G150)))</formula>
    </cfRule>
  </conditionalFormatting>
  <conditionalFormatting sqref="G156:G158">
    <cfRule type="containsText" dxfId="614" priority="1863" operator="containsText" text="100">
      <formula>NOT(ISERROR(SEARCH("100",G156)))</formula>
    </cfRule>
    <cfRule type="containsText" dxfId="613" priority="1861" operator="containsText" text="25">
      <formula>NOT(ISERROR(SEARCH("25",G156)))</formula>
    </cfRule>
    <cfRule type="containsText" dxfId="612" priority="1864" operator="containsText" text="75">
      <formula>NOT(ISERROR(SEARCH("75",G156)))</formula>
    </cfRule>
    <cfRule type="containsText" dxfId="611" priority="1862" operator="containsText" text="50">
      <formula>NOT(ISERROR(SEARCH("50",G156)))</formula>
    </cfRule>
  </conditionalFormatting>
  <conditionalFormatting sqref="G162:G163">
    <cfRule type="containsText" dxfId="610" priority="1860" operator="containsText" text="75">
      <formula>NOT(ISERROR(SEARCH("75",G162)))</formula>
    </cfRule>
    <cfRule type="containsText" dxfId="609" priority="1859" operator="containsText" text="100">
      <formula>NOT(ISERROR(SEARCH("100",G162)))</formula>
    </cfRule>
    <cfRule type="containsText" dxfId="608" priority="1858" operator="containsText" text="50">
      <formula>NOT(ISERROR(SEARCH("50",G162)))</formula>
    </cfRule>
    <cfRule type="containsText" dxfId="607" priority="1857" operator="containsText" text="25">
      <formula>NOT(ISERROR(SEARCH("25",G162)))</formula>
    </cfRule>
  </conditionalFormatting>
  <conditionalFormatting sqref="G165:G168">
    <cfRule type="containsText" dxfId="606" priority="1853" operator="containsText" text="25">
      <formula>NOT(ISERROR(SEARCH("25",G165)))</formula>
    </cfRule>
    <cfRule type="containsText" dxfId="605" priority="1856" operator="containsText" text="75">
      <formula>NOT(ISERROR(SEARCH("75",G165)))</formula>
    </cfRule>
    <cfRule type="containsText" dxfId="604" priority="1855" operator="containsText" text="100">
      <formula>NOT(ISERROR(SEARCH("100",G165)))</formula>
    </cfRule>
    <cfRule type="containsText" dxfId="603" priority="1854" operator="containsText" text="50">
      <formula>NOT(ISERROR(SEARCH("50",G165)))</formula>
    </cfRule>
  </conditionalFormatting>
  <conditionalFormatting sqref="G171:G175">
    <cfRule type="containsText" dxfId="602" priority="1865" operator="containsText" text="25">
      <formula>NOT(ISERROR(SEARCH("25",G171)))</formula>
    </cfRule>
    <cfRule type="containsText" dxfId="601" priority="1866" operator="containsText" text="50">
      <formula>NOT(ISERROR(SEARCH("50",G171)))</formula>
    </cfRule>
    <cfRule type="containsText" dxfId="600" priority="1867" operator="containsText" text="100">
      <formula>NOT(ISERROR(SEARCH("100",G171)))</formula>
    </cfRule>
    <cfRule type="containsText" dxfId="599" priority="1868" operator="containsText" text="75">
      <formula>NOT(ISERROR(SEARCH("75",G171)))</formula>
    </cfRule>
  </conditionalFormatting>
  <conditionalFormatting sqref="G180">
    <cfRule type="containsText" dxfId="598" priority="1900" operator="containsText" text="75">
      <formula>NOT(ISERROR(SEARCH("75",G180)))</formula>
    </cfRule>
    <cfRule type="containsText" dxfId="597" priority="1897" operator="containsText" text="25">
      <formula>NOT(ISERROR(SEARCH("25",G180)))</formula>
    </cfRule>
    <cfRule type="containsText" dxfId="596" priority="1898" operator="containsText" text="50">
      <formula>NOT(ISERROR(SEARCH("50",G180)))</formula>
    </cfRule>
    <cfRule type="containsText" dxfId="595" priority="1899" operator="containsText" text="100">
      <formula>NOT(ISERROR(SEARCH("100",G180)))</formula>
    </cfRule>
  </conditionalFormatting>
  <conditionalFormatting sqref="G186:G187">
    <cfRule type="containsText" dxfId="594" priority="1903" operator="containsText" text="100">
      <formula>NOT(ISERROR(SEARCH("100",G186)))</formula>
    </cfRule>
    <cfRule type="containsText" dxfId="593" priority="1902" operator="containsText" text="50">
      <formula>NOT(ISERROR(SEARCH("50",G186)))</formula>
    </cfRule>
    <cfRule type="containsText" dxfId="592" priority="1904" operator="containsText" text="75">
      <formula>NOT(ISERROR(SEARCH("75",G186)))</formula>
    </cfRule>
    <cfRule type="containsText" dxfId="591" priority="1901" operator="containsText" text="25">
      <formula>NOT(ISERROR(SEARCH("25",G186)))</formula>
    </cfRule>
  </conditionalFormatting>
  <conditionalFormatting sqref="G192:G193">
    <cfRule type="containsText" dxfId="590" priority="1905" operator="containsText" text="25">
      <formula>NOT(ISERROR(SEARCH("25",G192)))</formula>
    </cfRule>
    <cfRule type="containsText" dxfId="589" priority="1906" operator="containsText" text="50">
      <formula>NOT(ISERROR(SEARCH("50",G192)))</formula>
    </cfRule>
    <cfRule type="containsText" dxfId="588" priority="1907" operator="containsText" text="100">
      <formula>NOT(ISERROR(SEARCH("100",G192)))</formula>
    </cfRule>
    <cfRule type="containsText" dxfId="587" priority="1908" operator="containsText" text="75">
      <formula>NOT(ISERROR(SEARCH("75",G192)))</formula>
    </cfRule>
  </conditionalFormatting>
  <conditionalFormatting sqref="G198">
    <cfRule type="containsText" dxfId="586" priority="1915" operator="containsText" text="100">
      <formula>NOT(ISERROR(SEARCH("100",G198)))</formula>
    </cfRule>
    <cfRule type="containsText" dxfId="585" priority="1914" operator="containsText" text="50">
      <formula>NOT(ISERROR(SEARCH("50",G198)))</formula>
    </cfRule>
    <cfRule type="containsText" dxfId="584" priority="1913" operator="containsText" text="25">
      <formula>NOT(ISERROR(SEARCH("25",G198)))</formula>
    </cfRule>
    <cfRule type="containsText" dxfId="583" priority="1916" operator="containsText" text="75">
      <formula>NOT(ISERROR(SEARCH("75",G198)))</formula>
    </cfRule>
  </conditionalFormatting>
  <conditionalFormatting sqref="G210:G211">
    <cfRule type="containsText" dxfId="582" priority="1921" operator="containsText" text="25">
      <formula>NOT(ISERROR(SEARCH("25",G210)))</formula>
    </cfRule>
    <cfRule type="containsText" dxfId="581" priority="1922" operator="containsText" text="50">
      <formula>NOT(ISERROR(SEARCH("50",G210)))</formula>
    </cfRule>
    <cfRule type="containsText" dxfId="580" priority="1923" operator="containsText" text="100">
      <formula>NOT(ISERROR(SEARCH("100",G210)))</formula>
    </cfRule>
    <cfRule type="containsText" dxfId="579" priority="1924" operator="containsText" text="75">
      <formula>NOT(ISERROR(SEARCH("75",G210)))</formula>
    </cfRule>
  </conditionalFormatting>
  <conditionalFormatting sqref="G127:H127">
    <cfRule type="containsText" dxfId="578" priority="2416" operator="containsText" text="75">
      <formula>NOT(ISERROR(SEARCH("75",G127)))</formula>
    </cfRule>
    <cfRule type="containsText" dxfId="577" priority="2414" operator="containsText" text="50">
      <formula>NOT(ISERROR(SEARCH("50",G127)))</formula>
    </cfRule>
    <cfRule type="containsText" dxfId="576" priority="2413" operator="containsText" text="25">
      <formula>NOT(ISERROR(SEARCH("25",G127)))</formula>
    </cfRule>
    <cfRule type="containsText" dxfId="575" priority="2415" operator="containsText" text="100">
      <formula>NOT(ISERROR(SEARCH("100",G127)))</formula>
    </cfRule>
  </conditionalFormatting>
  <conditionalFormatting sqref="G139:H139">
    <cfRule type="containsText" dxfId="574" priority="2410" operator="containsText" text="50">
      <formula>NOT(ISERROR(SEARCH("50",G139)))</formula>
    </cfRule>
    <cfRule type="containsText" dxfId="573" priority="2412" operator="containsText" text="75">
      <formula>NOT(ISERROR(SEARCH("75",G139)))</formula>
    </cfRule>
    <cfRule type="containsText" dxfId="572" priority="2411" operator="containsText" text="100">
      <formula>NOT(ISERROR(SEARCH("100",G139)))</formula>
    </cfRule>
    <cfRule type="containsText" dxfId="571" priority="2409" operator="containsText" text="25">
      <formula>NOT(ISERROR(SEARCH("25",G139)))</formula>
    </cfRule>
  </conditionalFormatting>
  <conditionalFormatting sqref="G151:H151">
    <cfRule type="containsText" dxfId="570" priority="2405" operator="containsText" text="25">
      <formula>NOT(ISERROR(SEARCH("25",G151)))</formula>
    </cfRule>
    <cfRule type="containsText" dxfId="569" priority="2408" operator="containsText" text="75">
      <formula>NOT(ISERROR(SEARCH("75",G151)))</formula>
    </cfRule>
    <cfRule type="containsText" dxfId="568" priority="2407" operator="containsText" text="100">
      <formula>NOT(ISERROR(SEARCH("100",G151)))</formula>
    </cfRule>
    <cfRule type="containsText" dxfId="567" priority="2406" operator="containsText" text="50">
      <formula>NOT(ISERROR(SEARCH("50",G151)))</formula>
    </cfRule>
  </conditionalFormatting>
  <conditionalFormatting sqref="G169:H169">
    <cfRule type="containsText" dxfId="566" priority="2402" operator="containsText" text="50">
      <formula>NOT(ISERROR(SEARCH("50",G169)))</formula>
    </cfRule>
    <cfRule type="containsText" dxfId="565" priority="2401" operator="containsText" text="25">
      <formula>NOT(ISERROR(SEARCH("25",G169)))</formula>
    </cfRule>
    <cfRule type="containsText" dxfId="564" priority="2404" operator="containsText" text="75">
      <formula>NOT(ISERROR(SEARCH("75",G169)))</formula>
    </cfRule>
    <cfRule type="containsText" dxfId="563" priority="2403" operator="containsText" text="100">
      <formula>NOT(ISERROR(SEARCH("100",G169)))</formula>
    </cfRule>
  </conditionalFormatting>
  <conditionalFormatting sqref="G181:H181">
    <cfRule type="containsText" dxfId="562" priority="2394" operator="containsText" text="50">
      <formula>NOT(ISERROR(SEARCH("50",G181)))</formula>
    </cfRule>
    <cfRule type="containsText" dxfId="561" priority="2395" operator="containsText" text="100">
      <formula>NOT(ISERROR(SEARCH("100",G181)))</formula>
    </cfRule>
    <cfRule type="containsText" dxfId="560" priority="2396" operator="containsText" text="75">
      <formula>NOT(ISERROR(SEARCH("75",G181)))</formula>
    </cfRule>
    <cfRule type="containsText" dxfId="559" priority="2393" operator="containsText" text="25">
      <formula>NOT(ISERROR(SEARCH("25",G181)))</formula>
    </cfRule>
  </conditionalFormatting>
  <conditionalFormatting sqref="G199:H199">
    <cfRule type="containsText" dxfId="558" priority="2391" operator="containsText" text="100">
      <formula>NOT(ISERROR(SEARCH("100",G199)))</formula>
    </cfRule>
    <cfRule type="containsText" dxfId="557" priority="2392" operator="containsText" text="75">
      <formula>NOT(ISERROR(SEARCH("75",G199)))</formula>
    </cfRule>
    <cfRule type="containsText" dxfId="556" priority="2390" operator="containsText" text="50">
      <formula>NOT(ISERROR(SEARCH("50",G199)))</formula>
    </cfRule>
    <cfRule type="containsText" dxfId="555" priority="2389" operator="containsText" text="25">
      <formula>NOT(ISERROR(SEARCH("25",G199)))</formula>
    </cfRule>
  </conditionalFormatting>
  <conditionalFormatting sqref="G205:H205">
    <cfRule type="containsText" dxfId="554" priority="2385" operator="containsText" text="25">
      <formula>NOT(ISERROR(SEARCH("25",G205)))</formula>
    </cfRule>
    <cfRule type="containsText" dxfId="553" priority="2388" operator="containsText" text="75">
      <formula>NOT(ISERROR(SEARCH("75",G205)))</formula>
    </cfRule>
    <cfRule type="containsText" dxfId="552" priority="2386" operator="containsText" text="50">
      <formula>NOT(ISERROR(SEARCH("50",G205)))</formula>
    </cfRule>
    <cfRule type="containsText" dxfId="551" priority="2387" operator="containsText" text="100">
      <formula>NOT(ISERROR(SEARCH("100",G205)))</formula>
    </cfRule>
  </conditionalFormatting>
  <conditionalFormatting sqref="H125:H126">
    <cfRule type="containsText" dxfId="550" priority="1881" operator="containsText" text="25">
      <formula>NOT(ISERROR(SEARCH("25",H125)))</formula>
    </cfRule>
    <cfRule type="containsText" dxfId="549" priority="1882" operator="containsText" text="50">
      <formula>NOT(ISERROR(SEARCH("50",H125)))</formula>
    </cfRule>
    <cfRule type="containsText" dxfId="548" priority="1883" operator="containsText" text="100">
      <formula>NOT(ISERROR(SEARCH("100",H125)))</formula>
    </cfRule>
    <cfRule type="containsText" dxfId="547" priority="1884" operator="containsText" text="75">
      <formula>NOT(ISERROR(SEARCH("75",H125)))</formula>
    </cfRule>
  </conditionalFormatting>
  <conditionalFormatting sqref="H131:H132">
    <cfRule type="containsText" dxfId="546" priority="1896" operator="containsText" text="75">
      <formula>NOT(ISERROR(SEARCH("75",H131)))</formula>
    </cfRule>
    <cfRule type="containsText" dxfId="545" priority="1894" operator="containsText" text="50">
      <formula>NOT(ISERROR(SEARCH("50",H131)))</formula>
    </cfRule>
    <cfRule type="containsText" dxfId="544" priority="1893" operator="containsText" text="25">
      <formula>NOT(ISERROR(SEARCH("25",H131)))</formula>
    </cfRule>
    <cfRule type="containsText" dxfId="543" priority="1895" operator="containsText" text="100">
      <formula>NOT(ISERROR(SEARCH("100",H131)))</formula>
    </cfRule>
  </conditionalFormatting>
  <conditionalFormatting sqref="H137">
    <cfRule type="containsText" dxfId="542" priority="1976" operator="containsText" text="75">
      <formula>NOT(ISERROR(SEARCH("75",H137)))</formula>
    </cfRule>
    <cfRule type="containsText" dxfId="541" priority="1975" operator="containsText" text="100">
      <formula>NOT(ISERROR(SEARCH("100",H137)))</formula>
    </cfRule>
    <cfRule type="containsText" dxfId="540" priority="1974" operator="containsText" text="50">
      <formula>NOT(ISERROR(SEARCH("50",H137)))</formula>
    </cfRule>
    <cfRule type="containsText" dxfId="539" priority="1973" operator="containsText" text="25">
      <formula>NOT(ISERROR(SEARCH("25",H137)))</formula>
    </cfRule>
  </conditionalFormatting>
  <conditionalFormatting sqref="H143:H144">
    <cfRule type="containsText" dxfId="538" priority="1879" operator="containsText" text="100">
      <formula>NOT(ISERROR(SEARCH("100",H143)))</formula>
    </cfRule>
    <cfRule type="containsText" dxfId="537" priority="1880" operator="containsText" text="75">
      <formula>NOT(ISERROR(SEARCH("75",H143)))</formula>
    </cfRule>
    <cfRule type="containsText" dxfId="536" priority="1878" operator="containsText" text="50">
      <formula>NOT(ISERROR(SEARCH("50",H143)))</formula>
    </cfRule>
    <cfRule type="containsText" dxfId="535" priority="1877" operator="containsText" text="25">
      <formula>NOT(ISERROR(SEARCH("25",H143)))</formula>
    </cfRule>
  </conditionalFormatting>
  <conditionalFormatting sqref="H149">
    <cfRule type="containsText" dxfId="534" priority="1968" operator="containsText" text="75">
      <formula>NOT(ISERROR(SEARCH("75",H149)))</formula>
    </cfRule>
    <cfRule type="containsText" dxfId="533" priority="1967" operator="containsText" text="100">
      <formula>NOT(ISERROR(SEARCH("100",H149)))</formula>
    </cfRule>
    <cfRule type="containsText" dxfId="532" priority="1966" operator="containsText" text="50">
      <formula>NOT(ISERROR(SEARCH("50",H149)))</formula>
    </cfRule>
    <cfRule type="containsText" dxfId="531" priority="1965" operator="containsText" text="25">
      <formula>NOT(ISERROR(SEARCH("25",H149)))</formula>
    </cfRule>
  </conditionalFormatting>
  <conditionalFormatting sqref="H155">
    <cfRule type="containsText" dxfId="530" priority="1961" operator="containsText" text="25">
      <formula>NOT(ISERROR(SEARCH("25",H155)))</formula>
    </cfRule>
    <cfRule type="containsText" dxfId="529" priority="1962" operator="containsText" text="50">
      <formula>NOT(ISERROR(SEARCH("50",H155)))</formula>
    </cfRule>
    <cfRule type="containsText" dxfId="528" priority="1963" operator="containsText" text="100">
      <formula>NOT(ISERROR(SEARCH("100",H155)))</formula>
    </cfRule>
    <cfRule type="containsText" dxfId="527" priority="1964" operator="containsText" text="75">
      <formula>NOT(ISERROR(SEARCH("75",H155)))</formula>
    </cfRule>
  </conditionalFormatting>
  <conditionalFormatting sqref="H161:H162">
    <cfRule type="containsText" dxfId="526" priority="1849" operator="containsText" text="25">
      <formula>NOT(ISERROR(SEARCH("25",H161)))</formula>
    </cfRule>
    <cfRule type="containsText" dxfId="525" priority="1851" operator="containsText" text="100">
      <formula>NOT(ISERROR(SEARCH("100",H161)))</formula>
    </cfRule>
    <cfRule type="containsText" dxfId="524" priority="1850" operator="containsText" text="50">
      <formula>NOT(ISERROR(SEARCH("50",H161)))</formula>
    </cfRule>
    <cfRule type="containsText" dxfId="523" priority="1852" operator="containsText" text="75">
      <formula>NOT(ISERROR(SEARCH("75",H161)))</formula>
    </cfRule>
  </conditionalFormatting>
  <conditionalFormatting sqref="H167">
    <cfRule type="containsText" dxfId="522" priority="1956" operator="containsText" text="75">
      <formula>NOT(ISERROR(SEARCH("75",H167)))</formula>
    </cfRule>
    <cfRule type="containsText" dxfId="521" priority="1954" operator="containsText" text="50">
      <formula>NOT(ISERROR(SEARCH("50",H167)))</formula>
    </cfRule>
    <cfRule type="containsText" dxfId="520" priority="1955" operator="containsText" text="100">
      <formula>NOT(ISERROR(SEARCH("100",H167)))</formula>
    </cfRule>
    <cfRule type="containsText" dxfId="519" priority="1953" operator="containsText" text="25">
      <formula>NOT(ISERROR(SEARCH("25",H167)))</formula>
    </cfRule>
  </conditionalFormatting>
  <conditionalFormatting sqref="H172">
    <cfRule type="containsText" dxfId="518" priority="1950" operator="containsText" text="50">
      <formula>NOT(ISERROR(SEARCH("50",H172)))</formula>
    </cfRule>
    <cfRule type="containsText" dxfId="517" priority="1949" operator="containsText" text="25">
      <formula>NOT(ISERROR(SEARCH("25",H172)))</formula>
    </cfRule>
    <cfRule type="containsText" dxfId="516" priority="1951" operator="containsText" text="100">
      <formula>NOT(ISERROR(SEARCH("100",H172)))</formula>
    </cfRule>
    <cfRule type="containsText" dxfId="515" priority="1952" operator="containsText" text="75">
      <formula>NOT(ISERROR(SEARCH("75",H172)))</formula>
    </cfRule>
  </conditionalFormatting>
  <conditionalFormatting sqref="H179">
    <cfRule type="containsText" dxfId="514" priority="1948" operator="containsText" text="75">
      <formula>NOT(ISERROR(SEARCH("75",H179)))</formula>
    </cfRule>
    <cfRule type="containsText" dxfId="513" priority="1946" operator="containsText" text="50">
      <formula>NOT(ISERROR(SEARCH("50",H179)))</formula>
    </cfRule>
    <cfRule type="containsText" dxfId="512" priority="1945" operator="containsText" text="25">
      <formula>NOT(ISERROR(SEARCH("25",H179)))</formula>
    </cfRule>
    <cfRule type="containsText" dxfId="511" priority="1947" operator="containsText" text="100">
      <formula>NOT(ISERROR(SEARCH("100",H179)))</formula>
    </cfRule>
  </conditionalFormatting>
  <conditionalFormatting sqref="H185">
    <cfRule type="containsText" dxfId="510" priority="1942" operator="containsText" text="50">
      <formula>NOT(ISERROR(SEARCH("50",H185)))</formula>
    </cfRule>
    <cfRule type="containsText" dxfId="509" priority="1944" operator="containsText" text="75">
      <formula>NOT(ISERROR(SEARCH("75",H185)))</formula>
    </cfRule>
    <cfRule type="containsText" dxfId="508" priority="1943" operator="containsText" text="100">
      <formula>NOT(ISERROR(SEARCH("100",H185)))</formula>
    </cfRule>
    <cfRule type="containsText" dxfId="507" priority="1941" operator="containsText" text="25">
      <formula>NOT(ISERROR(SEARCH("25",H185)))</formula>
    </cfRule>
  </conditionalFormatting>
  <conditionalFormatting sqref="H191">
    <cfRule type="containsText" dxfId="506" priority="1938" operator="containsText" text="50">
      <formula>NOT(ISERROR(SEARCH("50",H191)))</formula>
    </cfRule>
    <cfRule type="containsText" dxfId="505" priority="1939" operator="containsText" text="100">
      <formula>NOT(ISERROR(SEARCH("100",H191)))</formula>
    </cfRule>
    <cfRule type="containsText" dxfId="504" priority="1940" operator="containsText" text="75">
      <formula>NOT(ISERROR(SEARCH("75",H191)))</formula>
    </cfRule>
    <cfRule type="containsText" dxfId="503" priority="1937" operator="containsText" text="25">
      <formula>NOT(ISERROR(SEARCH("25",H191)))</formula>
    </cfRule>
  </conditionalFormatting>
  <conditionalFormatting sqref="H197">
    <cfRule type="containsText" dxfId="502" priority="1934" operator="containsText" text="50">
      <formula>NOT(ISERROR(SEARCH("50",H197)))</formula>
    </cfRule>
    <cfRule type="containsText" dxfId="501" priority="1933" operator="containsText" text="25">
      <formula>NOT(ISERROR(SEARCH("25",H197)))</formula>
    </cfRule>
    <cfRule type="containsText" dxfId="500" priority="1936" operator="containsText" text="75">
      <formula>NOT(ISERROR(SEARCH("75",H197)))</formula>
    </cfRule>
    <cfRule type="containsText" dxfId="499" priority="1935" operator="containsText" text="100">
      <formula>NOT(ISERROR(SEARCH("100",H197)))</formula>
    </cfRule>
  </conditionalFormatting>
  <conditionalFormatting sqref="H203">
    <cfRule type="containsText" dxfId="498" priority="1930" operator="containsText" text="50">
      <formula>NOT(ISERROR(SEARCH("50",H203)))</formula>
    </cfRule>
    <cfRule type="containsText" dxfId="497" priority="1929" operator="containsText" text="25">
      <formula>NOT(ISERROR(SEARCH("25",H203)))</formula>
    </cfRule>
    <cfRule type="containsText" dxfId="496" priority="1932" operator="containsText" text="75">
      <formula>NOT(ISERROR(SEARCH("75",H203)))</formula>
    </cfRule>
    <cfRule type="containsText" dxfId="495" priority="1931" operator="containsText" text="100">
      <formula>NOT(ISERROR(SEARCH("100",H203)))</formula>
    </cfRule>
  </conditionalFormatting>
  <conditionalFormatting sqref="H209">
    <cfRule type="containsText" dxfId="494" priority="1926" operator="containsText" text="50">
      <formula>NOT(ISERROR(SEARCH("50",H209)))</formula>
    </cfRule>
    <cfRule type="containsText" dxfId="493" priority="1925" operator="containsText" text="25">
      <formula>NOT(ISERROR(SEARCH("25",H209)))</formula>
    </cfRule>
    <cfRule type="containsText" dxfId="492" priority="1928" operator="containsText" text="75">
      <formula>NOT(ISERROR(SEARCH("75",H209)))</formula>
    </cfRule>
    <cfRule type="containsText" dxfId="491" priority="1927" operator="containsText" text="100">
      <formula>NOT(ISERROR(SEARCH("100",H209)))</formula>
    </cfRule>
  </conditionalFormatting>
  <conditionalFormatting sqref="I124:I126">
    <cfRule type="containsText" dxfId="490" priority="1042" operator="containsText" text="50">
      <formula>NOT(ISERROR(SEARCH("50",I124)))</formula>
    </cfRule>
    <cfRule type="containsText" dxfId="489" priority="1041" operator="containsText" text="25">
      <formula>NOT(ISERROR(SEARCH("25",I124)))</formula>
    </cfRule>
    <cfRule type="containsText" dxfId="488" priority="1043" operator="containsText" text="100">
      <formula>NOT(ISERROR(SEARCH("100",I124)))</formula>
    </cfRule>
    <cfRule type="containsText" dxfId="487" priority="1044" operator="containsText" text="75">
      <formula>NOT(ISERROR(SEARCH("75",I124)))</formula>
    </cfRule>
  </conditionalFormatting>
  <conditionalFormatting sqref="I132">
    <cfRule type="containsText" dxfId="486" priority="815" operator="containsText" text="100">
      <formula>NOT(ISERROR(SEARCH("100",I132)))</formula>
    </cfRule>
    <cfRule type="containsText" dxfId="485" priority="813" operator="containsText" text="25">
      <formula>NOT(ISERROR(SEARCH("25",I132)))</formula>
    </cfRule>
    <cfRule type="containsText" dxfId="484" priority="814" operator="containsText" text="50">
      <formula>NOT(ISERROR(SEARCH("50",I132)))</formula>
    </cfRule>
    <cfRule type="containsText" dxfId="483" priority="816" operator="containsText" text="75">
      <formula>NOT(ISERROR(SEARCH("75",I132)))</formula>
    </cfRule>
  </conditionalFormatting>
  <conditionalFormatting sqref="I138">
    <cfRule type="containsText" dxfId="482" priority="820" operator="containsText" text="75">
      <formula>NOT(ISERROR(SEARCH("75",I138)))</formula>
    </cfRule>
    <cfRule type="containsText" dxfId="481" priority="819" operator="containsText" text="100">
      <formula>NOT(ISERROR(SEARCH("100",I138)))</formula>
    </cfRule>
    <cfRule type="containsText" dxfId="480" priority="818" operator="containsText" text="50">
      <formula>NOT(ISERROR(SEARCH("50",I138)))</formula>
    </cfRule>
    <cfRule type="containsText" dxfId="479" priority="817" operator="containsText" text="25">
      <formula>NOT(ISERROR(SEARCH("25",I138)))</formula>
    </cfRule>
  </conditionalFormatting>
  <conditionalFormatting sqref="I144">
    <cfRule type="containsText" dxfId="478" priority="823" operator="containsText" text="100">
      <formula>NOT(ISERROR(SEARCH("100",I144)))</formula>
    </cfRule>
    <cfRule type="containsText" dxfId="477" priority="824" operator="containsText" text="75">
      <formula>NOT(ISERROR(SEARCH("75",I144)))</formula>
    </cfRule>
    <cfRule type="containsText" dxfId="476" priority="822" operator="containsText" text="50">
      <formula>NOT(ISERROR(SEARCH("50",I144)))</formula>
    </cfRule>
    <cfRule type="containsText" dxfId="475" priority="821" operator="containsText" text="25">
      <formula>NOT(ISERROR(SEARCH("25",I144)))</formula>
    </cfRule>
  </conditionalFormatting>
  <conditionalFormatting sqref="I148:I150">
    <cfRule type="containsText" dxfId="474" priority="1026" operator="containsText" text="50">
      <formula>NOT(ISERROR(SEARCH("50",I148)))</formula>
    </cfRule>
    <cfRule type="containsText" dxfId="473" priority="1027" operator="containsText" text="100">
      <formula>NOT(ISERROR(SEARCH("100",I148)))</formula>
    </cfRule>
    <cfRule type="containsText" dxfId="472" priority="1028" operator="containsText" text="75">
      <formula>NOT(ISERROR(SEARCH("75",I148)))</formula>
    </cfRule>
    <cfRule type="containsText" dxfId="471" priority="1025" operator="containsText" text="25">
      <formula>NOT(ISERROR(SEARCH("25",I148)))</formula>
    </cfRule>
  </conditionalFormatting>
  <conditionalFormatting sqref="I156">
    <cfRule type="containsText" dxfId="470" priority="827" operator="containsText" text="100">
      <formula>NOT(ISERROR(SEARCH("100",I156)))</formula>
    </cfRule>
    <cfRule type="containsText" dxfId="469" priority="826" operator="containsText" text="50">
      <formula>NOT(ISERROR(SEARCH("50",I156)))</formula>
    </cfRule>
    <cfRule type="containsText" dxfId="468" priority="825" operator="containsText" text="25">
      <formula>NOT(ISERROR(SEARCH("25",I156)))</formula>
    </cfRule>
    <cfRule type="containsText" dxfId="467" priority="828" operator="containsText" text="75">
      <formula>NOT(ISERROR(SEARCH("75",I156)))</formula>
    </cfRule>
  </conditionalFormatting>
  <conditionalFormatting sqref="I162">
    <cfRule type="containsText" dxfId="466" priority="831" operator="containsText" text="100">
      <formula>NOT(ISERROR(SEARCH("100",I162)))</formula>
    </cfRule>
    <cfRule type="containsText" dxfId="465" priority="830" operator="containsText" text="50">
      <formula>NOT(ISERROR(SEARCH("50",I162)))</formula>
    </cfRule>
    <cfRule type="containsText" dxfId="464" priority="829" operator="containsText" text="25">
      <formula>NOT(ISERROR(SEARCH("25",I162)))</formula>
    </cfRule>
    <cfRule type="containsText" dxfId="463" priority="832" operator="containsText" text="75">
      <formula>NOT(ISERROR(SEARCH("75",I162)))</formula>
    </cfRule>
  </conditionalFormatting>
  <conditionalFormatting sqref="I168">
    <cfRule type="containsText" dxfId="462" priority="833" operator="containsText" text="25">
      <formula>NOT(ISERROR(SEARCH("25",I168)))</formula>
    </cfRule>
    <cfRule type="containsText" dxfId="461" priority="836" operator="containsText" text="75">
      <formula>NOT(ISERROR(SEARCH("75",I168)))</formula>
    </cfRule>
    <cfRule type="containsText" dxfId="460" priority="835" operator="containsText" text="100">
      <formula>NOT(ISERROR(SEARCH("100",I168)))</formula>
    </cfRule>
    <cfRule type="containsText" dxfId="459" priority="834" operator="containsText" text="50">
      <formula>NOT(ISERROR(SEARCH("50",I168)))</formula>
    </cfRule>
  </conditionalFormatting>
  <conditionalFormatting sqref="I173">
    <cfRule type="containsText" dxfId="458" priority="837" operator="containsText" text="25">
      <formula>NOT(ISERROR(SEARCH("25",I173)))</formula>
    </cfRule>
    <cfRule type="containsText" dxfId="457" priority="838" operator="containsText" text="50">
      <formula>NOT(ISERROR(SEARCH("50",I173)))</formula>
    </cfRule>
    <cfRule type="containsText" dxfId="456" priority="839" operator="containsText" text="100">
      <formula>NOT(ISERROR(SEARCH("100",I173)))</formula>
    </cfRule>
    <cfRule type="containsText" dxfId="455" priority="840" operator="containsText" text="75">
      <formula>NOT(ISERROR(SEARCH("75",I173)))</formula>
    </cfRule>
  </conditionalFormatting>
  <conditionalFormatting sqref="I178:I180">
    <cfRule type="containsText" dxfId="454" priority="1008" operator="containsText" text="75">
      <formula>NOT(ISERROR(SEARCH("75",I178)))</formula>
    </cfRule>
    <cfRule type="containsText" dxfId="453" priority="1007" operator="containsText" text="100">
      <formula>NOT(ISERROR(SEARCH("100",I178)))</formula>
    </cfRule>
    <cfRule type="containsText" dxfId="452" priority="1006" operator="containsText" text="50">
      <formula>NOT(ISERROR(SEARCH("50",I178)))</formula>
    </cfRule>
    <cfRule type="containsText" dxfId="451" priority="1005" operator="containsText" text="25">
      <formula>NOT(ISERROR(SEARCH("25",I178)))</formula>
    </cfRule>
  </conditionalFormatting>
  <conditionalFormatting sqref="I184:I186">
    <cfRule type="containsText" dxfId="450" priority="1004" operator="containsText" text="75">
      <formula>NOT(ISERROR(SEARCH("75",I184)))</formula>
    </cfRule>
    <cfRule type="containsText" dxfId="449" priority="1003" operator="containsText" text="100">
      <formula>NOT(ISERROR(SEARCH("100",I184)))</formula>
    </cfRule>
    <cfRule type="containsText" dxfId="448" priority="1002" operator="containsText" text="50">
      <formula>NOT(ISERROR(SEARCH("50",I184)))</formula>
    </cfRule>
    <cfRule type="containsText" dxfId="447" priority="1001" operator="containsText" text="25">
      <formula>NOT(ISERROR(SEARCH("25",I184)))</formula>
    </cfRule>
  </conditionalFormatting>
  <conditionalFormatting sqref="I192">
    <cfRule type="containsText" dxfId="446" priority="841" operator="containsText" text="25">
      <formula>NOT(ISERROR(SEARCH("25",I192)))</formula>
    </cfRule>
    <cfRule type="containsText" dxfId="445" priority="842" operator="containsText" text="50">
      <formula>NOT(ISERROR(SEARCH("50",I192)))</formula>
    </cfRule>
    <cfRule type="containsText" dxfId="444" priority="843" operator="containsText" text="100">
      <formula>NOT(ISERROR(SEARCH("100",I192)))</formula>
    </cfRule>
    <cfRule type="containsText" dxfId="443" priority="844" operator="containsText" text="75">
      <formula>NOT(ISERROR(SEARCH("75",I192)))</formula>
    </cfRule>
  </conditionalFormatting>
  <conditionalFormatting sqref="I196:I198">
    <cfRule type="containsText" dxfId="442" priority="994" operator="containsText" text="50">
      <formula>NOT(ISERROR(SEARCH("50",I196)))</formula>
    </cfRule>
    <cfRule type="containsText" dxfId="441" priority="993" operator="containsText" text="25">
      <formula>NOT(ISERROR(SEARCH("25",I196)))</formula>
    </cfRule>
    <cfRule type="containsText" dxfId="440" priority="996" operator="containsText" text="75">
      <formula>NOT(ISERROR(SEARCH("75",I196)))</formula>
    </cfRule>
    <cfRule type="containsText" dxfId="439" priority="995" operator="containsText" text="100">
      <formula>NOT(ISERROR(SEARCH("100",I196)))</formula>
    </cfRule>
  </conditionalFormatting>
  <conditionalFormatting sqref="I204">
    <cfRule type="containsText" dxfId="438" priority="847" operator="containsText" text="100">
      <formula>NOT(ISERROR(SEARCH("100",I204)))</formula>
    </cfRule>
    <cfRule type="containsText" dxfId="437" priority="845" operator="containsText" text="25">
      <formula>NOT(ISERROR(SEARCH("25",I204)))</formula>
    </cfRule>
    <cfRule type="containsText" dxfId="436" priority="846" operator="containsText" text="50">
      <formula>NOT(ISERROR(SEARCH("50",I204)))</formula>
    </cfRule>
    <cfRule type="containsText" dxfId="435" priority="848" operator="containsText" text="75">
      <formula>NOT(ISERROR(SEARCH("75",I204)))</formula>
    </cfRule>
  </conditionalFormatting>
  <conditionalFormatting sqref="I210">
    <cfRule type="containsText" dxfId="434" priority="849" operator="containsText" text="25">
      <formula>NOT(ISERROR(SEARCH("25",I210)))</formula>
    </cfRule>
    <cfRule type="containsText" dxfId="433" priority="852" operator="containsText" text="75">
      <formula>NOT(ISERROR(SEARCH("75",I210)))</formula>
    </cfRule>
    <cfRule type="containsText" dxfId="432" priority="851" operator="containsText" text="100">
      <formula>NOT(ISERROR(SEARCH("100",I210)))</formula>
    </cfRule>
    <cfRule type="containsText" dxfId="431" priority="850" operator="containsText" text="50">
      <formula>NOT(ISERROR(SEARCH("50",I210)))</formula>
    </cfRule>
  </conditionalFormatting>
  <conditionalFormatting sqref="I120:J120">
    <cfRule type="containsText" dxfId="430" priority="798" operator="containsText" text="50">
      <formula>NOT(ISERROR(SEARCH("50",I120)))</formula>
    </cfRule>
    <cfRule type="containsText" dxfId="429" priority="800" operator="containsText" text="75">
      <formula>NOT(ISERROR(SEARCH("75",I120)))</formula>
    </cfRule>
    <cfRule type="containsText" dxfId="428" priority="799" operator="containsText" text="100">
      <formula>NOT(ISERROR(SEARCH("100",I120)))</formula>
    </cfRule>
    <cfRule type="containsText" dxfId="427" priority="797" operator="containsText" text="25">
      <formula>NOT(ISERROR(SEARCH("25",I120)))</formula>
    </cfRule>
  </conditionalFormatting>
  <conditionalFormatting sqref="I130:J131">
    <cfRule type="containsText" dxfId="426" priority="907" operator="containsText" text="100">
      <formula>NOT(ISERROR(SEARCH("100",I130)))</formula>
    </cfRule>
    <cfRule type="containsText" dxfId="425" priority="906" operator="containsText" text="50">
      <formula>NOT(ISERROR(SEARCH("50",I130)))</formula>
    </cfRule>
    <cfRule type="containsText" dxfId="424" priority="905" operator="containsText" text="25">
      <formula>NOT(ISERROR(SEARCH("25",I130)))</formula>
    </cfRule>
    <cfRule type="containsText" dxfId="423" priority="908" operator="containsText" text="75">
      <formula>NOT(ISERROR(SEARCH("75",I130)))</formula>
    </cfRule>
  </conditionalFormatting>
  <conditionalFormatting sqref="I136:J137">
    <cfRule type="containsText" dxfId="422" priority="904" operator="containsText" text="75">
      <formula>NOT(ISERROR(SEARCH("75",I136)))</formula>
    </cfRule>
    <cfRule type="containsText" dxfId="421" priority="903" operator="containsText" text="100">
      <formula>NOT(ISERROR(SEARCH("100",I136)))</formula>
    </cfRule>
    <cfRule type="containsText" dxfId="420" priority="902" operator="containsText" text="50">
      <formula>NOT(ISERROR(SEARCH("50",I136)))</formula>
    </cfRule>
    <cfRule type="containsText" dxfId="419" priority="901" operator="containsText" text="25">
      <formula>NOT(ISERROR(SEARCH("25",I136)))</formula>
    </cfRule>
  </conditionalFormatting>
  <conditionalFormatting sqref="I142:J143">
    <cfRule type="containsText" dxfId="418" priority="900" operator="containsText" text="75">
      <formula>NOT(ISERROR(SEARCH("75",I142)))</formula>
    </cfRule>
    <cfRule type="containsText" dxfId="417" priority="898" operator="containsText" text="50">
      <formula>NOT(ISERROR(SEARCH("50",I142)))</formula>
    </cfRule>
    <cfRule type="containsText" dxfId="416" priority="899" operator="containsText" text="100">
      <formula>NOT(ISERROR(SEARCH("100",I142)))</formula>
    </cfRule>
    <cfRule type="containsText" dxfId="415" priority="897" operator="containsText" text="25">
      <formula>NOT(ISERROR(SEARCH("25",I142)))</formula>
    </cfRule>
  </conditionalFormatting>
  <conditionalFormatting sqref="I154:J155">
    <cfRule type="containsText" dxfId="414" priority="892" operator="containsText" text="75">
      <formula>NOT(ISERROR(SEARCH("75",I154)))</formula>
    </cfRule>
    <cfRule type="containsText" dxfId="413" priority="891" operator="containsText" text="100">
      <formula>NOT(ISERROR(SEARCH("100",I154)))</formula>
    </cfRule>
    <cfRule type="containsText" dxfId="412" priority="890" operator="containsText" text="50">
      <formula>NOT(ISERROR(SEARCH("50",I154)))</formula>
    </cfRule>
    <cfRule type="containsText" dxfId="411" priority="889" operator="containsText" text="25">
      <formula>NOT(ISERROR(SEARCH("25",I154)))</formula>
    </cfRule>
  </conditionalFormatting>
  <conditionalFormatting sqref="I160:J161">
    <cfRule type="containsText" dxfId="410" priority="886" operator="containsText" text="50">
      <formula>NOT(ISERROR(SEARCH("50",I160)))</formula>
    </cfRule>
    <cfRule type="containsText" dxfId="409" priority="887" operator="containsText" text="100">
      <formula>NOT(ISERROR(SEARCH("100",I160)))</formula>
    </cfRule>
    <cfRule type="containsText" dxfId="408" priority="888" operator="containsText" text="75">
      <formula>NOT(ISERROR(SEARCH("75",I160)))</formula>
    </cfRule>
    <cfRule type="containsText" dxfId="407" priority="885" operator="containsText" text="25">
      <formula>NOT(ISERROR(SEARCH("25",I160)))</formula>
    </cfRule>
  </conditionalFormatting>
  <conditionalFormatting sqref="I166:J167">
    <cfRule type="containsText" dxfId="406" priority="884" operator="containsText" text="75">
      <formula>NOT(ISERROR(SEARCH("75",I166)))</formula>
    </cfRule>
    <cfRule type="containsText" dxfId="405" priority="883" operator="containsText" text="100">
      <formula>NOT(ISERROR(SEARCH("100",I166)))</formula>
    </cfRule>
    <cfRule type="containsText" dxfId="404" priority="882" operator="containsText" text="50">
      <formula>NOT(ISERROR(SEARCH("50",I166)))</formula>
    </cfRule>
    <cfRule type="containsText" dxfId="403" priority="881" operator="containsText" text="25">
      <formula>NOT(ISERROR(SEARCH("25",I166)))</formula>
    </cfRule>
  </conditionalFormatting>
  <conditionalFormatting sqref="I171:J172">
    <cfRule type="containsText" dxfId="402" priority="879" operator="containsText" text="100">
      <formula>NOT(ISERROR(SEARCH("100",I171)))</formula>
    </cfRule>
    <cfRule type="containsText" dxfId="401" priority="878" operator="containsText" text="50">
      <formula>NOT(ISERROR(SEARCH("50",I171)))</formula>
    </cfRule>
    <cfRule type="containsText" dxfId="400" priority="877" operator="containsText" text="25">
      <formula>NOT(ISERROR(SEARCH("25",I171)))</formula>
    </cfRule>
    <cfRule type="containsText" dxfId="399" priority="880" operator="containsText" text="75">
      <formula>NOT(ISERROR(SEARCH("75",I171)))</formula>
    </cfRule>
  </conditionalFormatting>
  <conditionalFormatting sqref="I190:J191">
    <cfRule type="containsText" dxfId="398" priority="867" operator="containsText" text="100">
      <formula>NOT(ISERROR(SEARCH("100",I190)))</formula>
    </cfRule>
    <cfRule type="containsText" dxfId="397" priority="868" operator="containsText" text="75">
      <formula>NOT(ISERROR(SEARCH("75",I190)))</formula>
    </cfRule>
    <cfRule type="containsText" dxfId="396" priority="865" operator="containsText" text="25">
      <formula>NOT(ISERROR(SEARCH("25",I190)))</formula>
    </cfRule>
    <cfRule type="containsText" dxfId="395" priority="866" operator="containsText" text="50">
      <formula>NOT(ISERROR(SEARCH("50",I190)))</formula>
    </cfRule>
  </conditionalFormatting>
  <conditionalFormatting sqref="I202:J203">
    <cfRule type="containsText" dxfId="394" priority="857" operator="containsText" text="25">
      <formula>NOT(ISERROR(SEARCH("25",I202)))</formula>
    </cfRule>
    <cfRule type="containsText" dxfId="393" priority="858" operator="containsText" text="50">
      <formula>NOT(ISERROR(SEARCH("50",I202)))</formula>
    </cfRule>
    <cfRule type="containsText" dxfId="392" priority="859" operator="containsText" text="100">
      <formula>NOT(ISERROR(SEARCH("100",I202)))</formula>
    </cfRule>
    <cfRule type="containsText" dxfId="391" priority="860" operator="containsText" text="75">
      <formula>NOT(ISERROR(SEARCH("75",I202)))</formula>
    </cfRule>
  </conditionalFormatting>
  <conditionalFormatting sqref="I208:J209">
    <cfRule type="containsText" dxfId="390" priority="856" operator="containsText" text="75">
      <formula>NOT(ISERROR(SEARCH("75",I208)))</formula>
    </cfRule>
    <cfRule type="containsText" dxfId="389" priority="855" operator="containsText" text="100">
      <formula>NOT(ISERROR(SEARCH("100",I208)))</formula>
    </cfRule>
    <cfRule type="containsText" dxfId="388" priority="854" operator="containsText" text="50">
      <formula>NOT(ISERROR(SEARCH("50",I208)))</formula>
    </cfRule>
    <cfRule type="containsText" dxfId="387" priority="853" operator="containsText" text="25">
      <formula>NOT(ISERROR(SEARCH("25",I208)))</formula>
    </cfRule>
  </conditionalFormatting>
  <conditionalFormatting sqref="I69:BF69">
    <cfRule type="containsText" dxfId="386" priority="1363" operator="containsText" text="100">
      <formula>NOT(ISERROR(SEARCH("100",I69)))</formula>
    </cfRule>
    <cfRule type="containsText" dxfId="385" priority="1361" operator="containsText" text="25">
      <formula>NOT(ISERROR(SEARCH("25",I69)))</formula>
    </cfRule>
    <cfRule type="containsText" dxfId="384" priority="1362" operator="containsText" text="50">
      <formula>NOT(ISERROR(SEARCH("50",I69)))</formula>
    </cfRule>
    <cfRule type="containsText" dxfId="383" priority="1364" operator="containsText" text="75">
      <formula>NOT(ISERROR(SEARCH("75",I69)))</formula>
    </cfRule>
  </conditionalFormatting>
  <conditionalFormatting sqref="J124:J125">
    <cfRule type="containsText" dxfId="382" priority="912" operator="containsText" text="75">
      <formula>NOT(ISERROR(SEARCH("75",J124)))</formula>
    </cfRule>
    <cfRule type="containsText" dxfId="381" priority="910" operator="containsText" text="50">
      <formula>NOT(ISERROR(SEARCH("50",J124)))</formula>
    </cfRule>
    <cfRule type="containsText" dxfId="380" priority="911" operator="containsText" text="100">
      <formula>NOT(ISERROR(SEARCH("100",J124)))</formula>
    </cfRule>
    <cfRule type="containsText" dxfId="379" priority="909" operator="containsText" text="25">
      <formula>NOT(ISERROR(SEARCH("25",J124)))</formula>
    </cfRule>
  </conditionalFormatting>
  <conditionalFormatting sqref="J127">
    <cfRule type="containsText" dxfId="378" priority="1804" operator="containsText" text="75">
      <formula>NOT(ISERROR(SEARCH("75",J127)))</formula>
    </cfRule>
    <cfRule type="containsText" dxfId="377" priority="1802" operator="containsText" text="50">
      <formula>NOT(ISERROR(SEARCH("50",J127)))</formula>
    </cfRule>
    <cfRule type="containsText" dxfId="376" priority="1801" operator="containsText" text="25">
      <formula>NOT(ISERROR(SEARCH("25",J127)))</formula>
    </cfRule>
    <cfRule type="containsText" dxfId="375" priority="1803" operator="containsText" text="100">
      <formula>NOT(ISERROR(SEARCH("100",J127)))</formula>
    </cfRule>
  </conditionalFormatting>
  <conditionalFormatting sqref="J132:J133">
    <cfRule type="containsText" dxfId="374" priority="810" operator="containsText" text="50">
      <formula>NOT(ISERROR(SEARCH("50",J132)))</formula>
    </cfRule>
    <cfRule type="containsText" dxfId="373" priority="809" operator="containsText" text="25">
      <formula>NOT(ISERROR(SEARCH("25",J132)))</formula>
    </cfRule>
    <cfRule type="containsText" dxfId="372" priority="811" operator="containsText" text="100">
      <formula>NOT(ISERROR(SEARCH("100",J132)))</formula>
    </cfRule>
    <cfRule type="containsText" dxfId="371" priority="812" operator="containsText" text="75">
      <formula>NOT(ISERROR(SEARCH("75",J132)))</formula>
    </cfRule>
  </conditionalFormatting>
  <conditionalFormatting sqref="J139">
    <cfRule type="containsText" dxfId="370" priority="1795" operator="containsText" text="100">
      <formula>NOT(ISERROR(SEARCH("100",J139)))</formula>
    </cfRule>
    <cfRule type="containsText" dxfId="369" priority="1796" operator="containsText" text="75">
      <formula>NOT(ISERROR(SEARCH("75",J139)))</formula>
    </cfRule>
    <cfRule type="containsText" dxfId="368" priority="1794" operator="containsText" text="50">
      <formula>NOT(ISERROR(SEARCH("50",J139)))</formula>
    </cfRule>
    <cfRule type="containsText" dxfId="367" priority="1793" operator="containsText" text="25">
      <formula>NOT(ISERROR(SEARCH("25",J139)))</formula>
    </cfRule>
  </conditionalFormatting>
  <conditionalFormatting sqref="J148:J151">
    <cfRule type="containsText" dxfId="366" priority="896" operator="containsText" text="75">
      <formula>NOT(ISERROR(SEARCH("75",J148)))</formula>
    </cfRule>
    <cfRule type="containsText" dxfId="365" priority="894" operator="containsText" text="50">
      <formula>NOT(ISERROR(SEARCH("50",J148)))</formula>
    </cfRule>
    <cfRule type="containsText" dxfId="364" priority="893" operator="containsText" text="25">
      <formula>NOT(ISERROR(SEARCH("25",J148)))</formula>
    </cfRule>
    <cfRule type="containsText" dxfId="363" priority="895" operator="containsText" text="100">
      <formula>NOT(ISERROR(SEARCH("100",J148)))</formula>
    </cfRule>
  </conditionalFormatting>
  <conditionalFormatting sqref="J169">
    <cfRule type="containsText" dxfId="362" priority="1773" operator="containsText" text="25">
      <formula>NOT(ISERROR(SEARCH("25",J169)))</formula>
    </cfRule>
    <cfRule type="containsText" dxfId="361" priority="1774" operator="containsText" text="50">
      <formula>NOT(ISERROR(SEARCH("50",J169)))</formula>
    </cfRule>
    <cfRule type="containsText" dxfId="360" priority="1775" operator="containsText" text="100">
      <formula>NOT(ISERROR(SEARCH("100",J169)))</formula>
    </cfRule>
    <cfRule type="containsText" dxfId="359" priority="1776" operator="containsText" text="75">
      <formula>NOT(ISERROR(SEARCH("75",J169)))</formula>
    </cfRule>
  </conditionalFormatting>
  <conditionalFormatting sqref="J174">
    <cfRule type="containsText" dxfId="358" priority="1769" operator="containsText" text="25">
      <formula>NOT(ISERROR(SEARCH("25",J174)))</formula>
    </cfRule>
    <cfRule type="containsText" dxfId="357" priority="1770" operator="containsText" text="50">
      <formula>NOT(ISERROR(SEARCH("50",J174)))</formula>
    </cfRule>
    <cfRule type="containsText" dxfId="356" priority="1772" operator="containsText" text="75">
      <formula>NOT(ISERROR(SEARCH("75",J174)))</formula>
    </cfRule>
    <cfRule type="containsText" dxfId="355" priority="1771" operator="containsText" text="100">
      <formula>NOT(ISERROR(SEARCH("100",J174)))</formula>
    </cfRule>
  </conditionalFormatting>
  <conditionalFormatting sqref="J178:J179">
    <cfRule type="containsText" dxfId="354" priority="876" operator="containsText" text="75">
      <formula>NOT(ISERROR(SEARCH("75",J178)))</formula>
    </cfRule>
    <cfRule type="containsText" dxfId="353" priority="875" operator="containsText" text="100">
      <formula>NOT(ISERROR(SEARCH("100",J178)))</formula>
    </cfRule>
    <cfRule type="containsText" dxfId="352" priority="874" operator="containsText" text="50">
      <formula>NOT(ISERROR(SEARCH("50",J178)))</formula>
    </cfRule>
    <cfRule type="containsText" dxfId="351" priority="873" operator="containsText" text="25">
      <formula>NOT(ISERROR(SEARCH("25",J178)))</formula>
    </cfRule>
  </conditionalFormatting>
  <conditionalFormatting sqref="J184:J185">
    <cfRule type="containsText" dxfId="350" priority="869" operator="containsText" text="25">
      <formula>NOT(ISERROR(SEARCH("25",J184)))</formula>
    </cfRule>
    <cfRule type="containsText" dxfId="349" priority="870" operator="containsText" text="50">
      <formula>NOT(ISERROR(SEARCH("50",J184)))</formula>
    </cfRule>
    <cfRule type="containsText" dxfId="348" priority="872" operator="containsText" text="75">
      <formula>NOT(ISERROR(SEARCH("75",J184)))</formula>
    </cfRule>
    <cfRule type="containsText" dxfId="347" priority="871" operator="containsText" text="100">
      <formula>NOT(ISERROR(SEARCH("100",J184)))</formula>
    </cfRule>
  </conditionalFormatting>
  <conditionalFormatting sqref="J188">
    <cfRule type="containsText" dxfId="346" priority="1745" operator="containsText" text="25">
      <formula>NOT(ISERROR(SEARCH("25",J188)))</formula>
    </cfRule>
    <cfRule type="containsText" dxfId="345" priority="1747" operator="containsText" text="100">
      <formula>NOT(ISERROR(SEARCH("100",J188)))</formula>
    </cfRule>
    <cfRule type="containsText" dxfId="344" priority="1748" operator="containsText" text="75">
      <formula>NOT(ISERROR(SEARCH("75",J188)))</formula>
    </cfRule>
    <cfRule type="containsText" dxfId="343" priority="1746" operator="containsText" text="50">
      <formula>NOT(ISERROR(SEARCH("50",J188)))</formula>
    </cfRule>
  </conditionalFormatting>
  <conditionalFormatting sqref="J193">
    <cfRule type="containsText" dxfId="342" priority="1762" operator="containsText" text="50">
      <formula>NOT(ISERROR(SEARCH("50",J193)))</formula>
    </cfRule>
    <cfRule type="containsText" dxfId="341" priority="1761" operator="containsText" text="25">
      <formula>NOT(ISERROR(SEARCH("25",J193)))</formula>
    </cfRule>
    <cfRule type="containsText" dxfId="340" priority="1764" operator="containsText" text="75">
      <formula>NOT(ISERROR(SEARCH("75",J193)))</formula>
    </cfRule>
    <cfRule type="containsText" dxfId="339" priority="1763" operator="containsText" text="100">
      <formula>NOT(ISERROR(SEARCH("100",J193)))</formula>
    </cfRule>
  </conditionalFormatting>
  <conditionalFormatting sqref="J196:J197">
    <cfRule type="containsText" dxfId="338" priority="863" operator="containsText" text="100">
      <formula>NOT(ISERROR(SEARCH("100",J196)))</formula>
    </cfRule>
    <cfRule type="containsText" dxfId="337" priority="861" operator="containsText" text="25">
      <formula>NOT(ISERROR(SEARCH("25",J196)))</formula>
    </cfRule>
    <cfRule type="containsText" dxfId="336" priority="862" operator="containsText" text="50">
      <formula>NOT(ISERROR(SEARCH("50",J196)))</formula>
    </cfRule>
    <cfRule type="containsText" dxfId="335" priority="864" operator="containsText" text="75">
      <formula>NOT(ISERROR(SEARCH("75",J196)))</formula>
    </cfRule>
  </conditionalFormatting>
  <conditionalFormatting sqref="J199">
    <cfRule type="containsText" dxfId="334" priority="1757" operator="containsText" text="25">
      <formula>NOT(ISERROR(SEARCH("25",J199)))</formula>
    </cfRule>
    <cfRule type="containsText" dxfId="333" priority="1758" operator="containsText" text="50">
      <formula>NOT(ISERROR(SEARCH("50",J199)))</formula>
    </cfRule>
    <cfRule type="containsText" dxfId="332" priority="1759" operator="containsText" text="100">
      <formula>NOT(ISERROR(SEARCH("100",J199)))</formula>
    </cfRule>
    <cfRule type="containsText" dxfId="331" priority="1760" operator="containsText" text="75">
      <formula>NOT(ISERROR(SEARCH("75",J199)))</formula>
    </cfRule>
  </conditionalFormatting>
  <conditionalFormatting sqref="J205:J206">
    <cfRule type="containsText" dxfId="330" priority="1756" operator="containsText" text="75">
      <formula>NOT(ISERROR(SEARCH("75",J205)))</formula>
    </cfRule>
    <cfRule type="containsText" dxfId="329" priority="1753" operator="containsText" text="25">
      <formula>NOT(ISERROR(SEARCH("25",J205)))</formula>
    </cfRule>
    <cfRule type="containsText" dxfId="328" priority="1754" operator="containsText" text="50">
      <formula>NOT(ISERROR(SEARCH("50",J205)))</formula>
    </cfRule>
    <cfRule type="containsText" dxfId="327" priority="1755" operator="containsText" text="100">
      <formula>NOT(ISERROR(SEARCH("100",J205)))</formula>
    </cfRule>
  </conditionalFormatting>
  <conditionalFormatting sqref="J211">
    <cfRule type="containsText" dxfId="326" priority="1750" operator="containsText" text="50">
      <formula>NOT(ISERROR(SEARCH("50",J211)))</formula>
    </cfRule>
    <cfRule type="containsText" dxfId="325" priority="1749" operator="containsText" text="25">
      <formula>NOT(ISERROR(SEARCH("25",J211)))</formula>
    </cfRule>
    <cfRule type="containsText" dxfId="324" priority="1751" operator="containsText" text="100">
      <formula>NOT(ISERROR(SEARCH("100",J211)))</formula>
    </cfRule>
    <cfRule type="containsText" dxfId="323" priority="1752" operator="containsText" text="75">
      <formula>NOT(ISERROR(SEARCH("75",J211)))</formula>
    </cfRule>
  </conditionalFormatting>
  <conditionalFormatting sqref="J121:K121">
    <cfRule type="containsText" dxfId="322" priority="1677" operator="containsText" text="25">
      <formula>NOT(ISERROR(SEARCH("25",J121)))</formula>
    </cfRule>
    <cfRule type="containsText" dxfId="321" priority="1680" operator="containsText" text="75">
      <formula>NOT(ISERROR(SEARCH("75",J121)))</formula>
    </cfRule>
    <cfRule type="containsText" dxfId="320" priority="1679" operator="containsText" text="100">
      <formula>NOT(ISERROR(SEARCH("100",J121)))</formula>
    </cfRule>
    <cfRule type="containsText" dxfId="319" priority="1678" operator="containsText" text="50">
      <formula>NOT(ISERROR(SEARCH("50",J121)))</formula>
    </cfRule>
  </conditionalFormatting>
  <conditionalFormatting sqref="J145:K145">
    <cfRule type="containsText" dxfId="318" priority="1644" operator="containsText" text="75">
      <formula>NOT(ISERROR(SEARCH("75",J145)))</formula>
    </cfRule>
    <cfRule type="containsText" dxfId="317" priority="1643" operator="containsText" text="100">
      <formula>NOT(ISERROR(SEARCH("100",J145)))</formula>
    </cfRule>
    <cfRule type="containsText" dxfId="316" priority="1642" operator="containsText" text="50">
      <formula>NOT(ISERROR(SEARCH("50",J145)))</formula>
    </cfRule>
    <cfRule type="containsText" dxfId="315" priority="1641" operator="containsText" text="25">
      <formula>NOT(ISERROR(SEARCH("25",J145)))</formula>
    </cfRule>
  </conditionalFormatting>
  <conditionalFormatting sqref="J157:K157">
    <cfRule type="containsText" dxfId="314" priority="1504" operator="containsText" text="75">
      <formula>NOT(ISERROR(SEARCH("75",J157)))</formula>
    </cfRule>
    <cfRule type="containsText" dxfId="313" priority="1503" operator="containsText" text="100">
      <formula>NOT(ISERROR(SEARCH("100",J157)))</formula>
    </cfRule>
    <cfRule type="containsText" dxfId="312" priority="1502" operator="containsText" text="50">
      <formula>NOT(ISERROR(SEARCH("50",J157)))</formula>
    </cfRule>
    <cfRule type="containsText" dxfId="311" priority="1501" operator="containsText" text="25">
      <formula>NOT(ISERROR(SEARCH("25",J157)))</formula>
    </cfRule>
  </conditionalFormatting>
  <conditionalFormatting sqref="J163:K163">
    <cfRule type="containsText" dxfId="310" priority="1612" operator="containsText" text="75">
      <formula>NOT(ISERROR(SEARCH("75",J163)))</formula>
    </cfRule>
    <cfRule type="containsText" dxfId="309" priority="1611" operator="containsText" text="100">
      <formula>NOT(ISERROR(SEARCH("100",J163)))</formula>
    </cfRule>
    <cfRule type="containsText" dxfId="308" priority="1610" operator="containsText" text="50">
      <formula>NOT(ISERROR(SEARCH("50",J163)))</formula>
    </cfRule>
    <cfRule type="containsText" dxfId="307" priority="1609" operator="containsText" text="25">
      <formula>NOT(ISERROR(SEARCH("25",J163)))</formula>
    </cfRule>
  </conditionalFormatting>
  <conditionalFormatting sqref="J181:K181">
    <cfRule type="containsText" dxfId="306" priority="1592" operator="containsText" text="75">
      <formula>NOT(ISERROR(SEARCH("75",J181)))</formula>
    </cfRule>
    <cfRule type="containsText" dxfId="305" priority="1591" operator="containsText" text="100">
      <formula>NOT(ISERROR(SEARCH("100",J181)))</formula>
    </cfRule>
    <cfRule type="containsText" dxfId="304" priority="1590" operator="containsText" text="50">
      <formula>NOT(ISERROR(SEARCH("50",J181)))</formula>
    </cfRule>
    <cfRule type="containsText" dxfId="303" priority="1589" operator="containsText" text="25">
      <formula>NOT(ISERROR(SEARCH("25",J181)))</formula>
    </cfRule>
  </conditionalFormatting>
  <conditionalFormatting sqref="K117:K120">
    <cfRule type="containsText" dxfId="302" priority="1335" operator="containsText" text="100">
      <formula>NOT(ISERROR(SEARCH("100",K117)))</formula>
    </cfRule>
    <cfRule type="containsText" dxfId="301" priority="1336" operator="containsText" text="75">
      <formula>NOT(ISERROR(SEARCH("75",K117)))</formula>
    </cfRule>
    <cfRule type="containsText" dxfId="300" priority="1334" operator="containsText" text="50">
      <formula>NOT(ISERROR(SEARCH("50",K117)))</formula>
    </cfRule>
    <cfRule type="containsText" dxfId="299" priority="1333" operator="containsText" text="25">
      <formula>NOT(ISERROR(SEARCH("25",K117)))</formula>
    </cfRule>
  </conditionalFormatting>
  <conditionalFormatting sqref="K123:K127">
    <cfRule type="containsText" dxfId="298" priority="1474" operator="containsText" text="50">
      <formula>NOT(ISERROR(SEARCH("50",K123)))</formula>
    </cfRule>
    <cfRule type="containsText" dxfId="297" priority="1475" operator="containsText" text="100">
      <formula>NOT(ISERROR(SEARCH("100",K123)))</formula>
    </cfRule>
    <cfRule type="containsText" dxfId="296" priority="1476" operator="containsText" text="75">
      <formula>NOT(ISERROR(SEARCH("75",K123)))</formula>
    </cfRule>
    <cfRule type="containsText" dxfId="295" priority="1473" operator="containsText" text="25">
      <formula>NOT(ISERROR(SEARCH("25",K123)))</formula>
    </cfRule>
  </conditionalFormatting>
  <conditionalFormatting sqref="K129:K133">
    <cfRule type="containsText" dxfId="294" priority="1326" operator="containsText" text="50">
      <formula>NOT(ISERROR(SEARCH("50",K129)))</formula>
    </cfRule>
    <cfRule type="containsText" dxfId="293" priority="1325" operator="containsText" text="25">
      <formula>NOT(ISERROR(SEARCH("25",K129)))</formula>
    </cfRule>
    <cfRule type="containsText" dxfId="292" priority="1327" operator="containsText" text="100">
      <formula>NOT(ISERROR(SEARCH("100",K129)))</formula>
    </cfRule>
    <cfRule type="containsText" dxfId="291" priority="1328" operator="containsText" text="75">
      <formula>NOT(ISERROR(SEARCH("75",K129)))</formula>
    </cfRule>
  </conditionalFormatting>
  <conditionalFormatting sqref="K135:K139">
    <cfRule type="containsText" dxfId="290" priority="1324" operator="containsText" text="75">
      <formula>NOT(ISERROR(SEARCH("75",K135)))</formula>
    </cfRule>
    <cfRule type="containsText" dxfId="289" priority="1323" operator="containsText" text="100">
      <formula>NOT(ISERROR(SEARCH("100",K135)))</formula>
    </cfRule>
    <cfRule type="containsText" dxfId="288" priority="1322" operator="containsText" text="50">
      <formula>NOT(ISERROR(SEARCH("50",K135)))</formula>
    </cfRule>
    <cfRule type="containsText" dxfId="287" priority="1321" operator="containsText" text="25">
      <formula>NOT(ISERROR(SEARCH("25",K135)))</formula>
    </cfRule>
  </conditionalFormatting>
  <conditionalFormatting sqref="K141:K144">
    <cfRule type="containsText" dxfId="286" priority="1316" operator="containsText" text="75">
      <formula>NOT(ISERROR(SEARCH("75",K141)))</formula>
    </cfRule>
    <cfRule type="containsText" dxfId="285" priority="1315" operator="containsText" text="100">
      <formula>NOT(ISERROR(SEARCH("100",K141)))</formula>
    </cfRule>
    <cfRule type="containsText" dxfId="284" priority="1314" operator="containsText" text="50">
      <formula>NOT(ISERROR(SEARCH("50",K141)))</formula>
    </cfRule>
    <cfRule type="containsText" dxfId="283" priority="1313" operator="containsText" text="25">
      <formula>NOT(ISERROR(SEARCH("25",K141)))</formula>
    </cfRule>
  </conditionalFormatting>
  <conditionalFormatting sqref="K147:K151">
    <cfRule type="containsText" dxfId="282" priority="1256" operator="containsText" text="75">
      <formula>NOT(ISERROR(SEARCH("75",K147)))</formula>
    </cfRule>
    <cfRule type="containsText" dxfId="281" priority="1255" operator="containsText" text="100">
      <formula>NOT(ISERROR(SEARCH("100",K147)))</formula>
    </cfRule>
    <cfRule type="containsText" dxfId="280" priority="1254" operator="containsText" text="50">
      <formula>NOT(ISERROR(SEARCH("50",K147)))</formula>
    </cfRule>
    <cfRule type="containsText" dxfId="279" priority="1253" operator="containsText" text="25">
      <formula>NOT(ISERROR(SEARCH("25",K147)))</formula>
    </cfRule>
  </conditionalFormatting>
  <conditionalFormatting sqref="K153:K156">
    <cfRule type="containsText" dxfId="278" priority="1303" operator="containsText" text="100">
      <formula>NOT(ISERROR(SEARCH("100",K153)))</formula>
    </cfRule>
    <cfRule type="containsText" dxfId="277" priority="1304" operator="containsText" text="75">
      <formula>NOT(ISERROR(SEARCH("75",K153)))</formula>
    </cfRule>
    <cfRule type="containsText" dxfId="276" priority="1301" operator="containsText" text="25">
      <formula>NOT(ISERROR(SEARCH("25",K153)))</formula>
    </cfRule>
    <cfRule type="containsText" dxfId="275" priority="1302" operator="containsText" text="50">
      <formula>NOT(ISERROR(SEARCH("50",K153)))</formula>
    </cfRule>
  </conditionalFormatting>
  <conditionalFormatting sqref="K159:K162">
    <cfRule type="containsText" dxfId="274" priority="1506" operator="containsText" text="50">
      <formula>NOT(ISERROR(SEARCH("50",K159)))</formula>
    </cfRule>
    <cfRule type="containsText" dxfId="273" priority="1505" operator="containsText" text="25">
      <formula>NOT(ISERROR(SEARCH("25",K159)))</formula>
    </cfRule>
    <cfRule type="containsText" dxfId="272" priority="1507" operator="containsText" text="100">
      <formula>NOT(ISERROR(SEARCH("100",K159)))</formula>
    </cfRule>
    <cfRule type="containsText" dxfId="271" priority="1508" operator="containsText" text="75">
      <formula>NOT(ISERROR(SEARCH("75",K159)))</formula>
    </cfRule>
  </conditionalFormatting>
  <conditionalFormatting sqref="K165:K169">
    <cfRule type="containsText" dxfId="270" priority="1290" operator="containsText" text="50">
      <formula>NOT(ISERROR(SEARCH("50",K165)))</formula>
    </cfRule>
    <cfRule type="containsText" dxfId="269" priority="1291" operator="containsText" text="100">
      <formula>NOT(ISERROR(SEARCH("100",K165)))</formula>
    </cfRule>
    <cfRule type="containsText" dxfId="268" priority="1292" operator="containsText" text="75">
      <formula>NOT(ISERROR(SEARCH("75",K165)))</formula>
    </cfRule>
    <cfRule type="containsText" dxfId="267" priority="1289" operator="containsText" text="25">
      <formula>NOT(ISERROR(SEARCH("25",K165)))</formula>
    </cfRule>
  </conditionalFormatting>
  <conditionalFormatting sqref="K171:K175">
    <cfRule type="containsText" dxfId="266" priority="1519" operator="containsText" text="100">
      <formula>NOT(ISERROR(SEARCH("100",K171)))</formula>
    </cfRule>
    <cfRule type="containsText" dxfId="265" priority="1517" operator="containsText" text="25">
      <formula>NOT(ISERROR(SEARCH("25",K171)))</formula>
    </cfRule>
    <cfRule type="containsText" dxfId="264" priority="1518" operator="containsText" text="50">
      <formula>NOT(ISERROR(SEARCH("50",K171)))</formula>
    </cfRule>
    <cfRule type="containsText" dxfId="263" priority="1520" operator="containsText" text="75">
      <formula>NOT(ISERROR(SEARCH("75",K171)))</formula>
    </cfRule>
  </conditionalFormatting>
  <conditionalFormatting sqref="K177:K180">
    <cfRule type="containsText" dxfId="262" priority="1278" operator="containsText" text="50">
      <formula>NOT(ISERROR(SEARCH("50",K177)))</formula>
    </cfRule>
    <cfRule type="containsText" dxfId="261" priority="1279" operator="containsText" text="100">
      <formula>NOT(ISERROR(SEARCH("100",K177)))</formula>
    </cfRule>
    <cfRule type="containsText" dxfId="260" priority="1280" operator="containsText" text="75">
      <formula>NOT(ISERROR(SEARCH("75",K177)))</formula>
    </cfRule>
    <cfRule type="containsText" dxfId="259" priority="1277" operator="containsText" text="25">
      <formula>NOT(ISERROR(SEARCH("25",K177)))</formula>
    </cfRule>
  </conditionalFormatting>
  <conditionalFormatting sqref="K189:K193">
    <cfRule type="containsText" dxfId="258" priority="1276" operator="containsText" text="75">
      <formula>NOT(ISERROR(SEARCH("75",K189)))</formula>
    </cfRule>
    <cfRule type="containsText" dxfId="257" priority="1274" operator="containsText" text="50">
      <formula>NOT(ISERROR(SEARCH("50",K189)))</formula>
    </cfRule>
    <cfRule type="containsText" dxfId="256" priority="1275" operator="containsText" text="100">
      <formula>NOT(ISERROR(SEARCH("100",K189)))</formula>
    </cfRule>
    <cfRule type="containsText" dxfId="255" priority="1273" operator="containsText" text="25">
      <formula>NOT(ISERROR(SEARCH("25",K189)))</formula>
    </cfRule>
  </conditionalFormatting>
  <conditionalFormatting sqref="K195:K199">
    <cfRule type="containsText" dxfId="254" priority="1540" operator="containsText" text="75">
      <formula>NOT(ISERROR(SEARCH("75",K195)))</formula>
    </cfRule>
    <cfRule type="containsText" dxfId="253" priority="1539" operator="containsText" text="100">
      <formula>NOT(ISERROR(SEARCH("100",K195)))</formula>
    </cfRule>
    <cfRule type="containsText" dxfId="252" priority="1538" operator="containsText" text="50">
      <formula>NOT(ISERROR(SEARCH("50",K195)))</formula>
    </cfRule>
    <cfRule type="containsText" dxfId="251" priority="1537" operator="containsText" text="25">
      <formula>NOT(ISERROR(SEARCH("25",K195)))</formula>
    </cfRule>
  </conditionalFormatting>
  <conditionalFormatting sqref="K201:K205">
    <cfRule type="containsText" dxfId="250" priority="1264" operator="containsText" text="75">
      <formula>NOT(ISERROR(SEARCH("75",K201)))</formula>
    </cfRule>
    <cfRule type="containsText" dxfId="249" priority="1263" operator="containsText" text="100">
      <formula>NOT(ISERROR(SEARCH("100",K201)))</formula>
    </cfRule>
    <cfRule type="containsText" dxfId="248" priority="1262" operator="containsText" text="50">
      <formula>NOT(ISERROR(SEARCH("50",K201)))</formula>
    </cfRule>
    <cfRule type="containsText" dxfId="247" priority="1261" operator="containsText" text="25">
      <formula>NOT(ISERROR(SEARCH("25",K201)))</formula>
    </cfRule>
  </conditionalFormatting>
  <conditionalFormatting sqref="K207:K211">
    <cfRule type="containsText" dxfId="246" priority="1259" operator="containsText" text="100">
      <formula>NOT(ISERROR(SEARCH("100",K207)))</formula>
    </cfRule>
    <cfRule type="containsText" dxfId="245" priority="1258" operator="containsText" text="50">
      <formula>NOT(ISERROR(SEARCH("50",K207)))</formula>
    </cfRule>
    <cfRule type="containsText" dxfId="244" priority="1260" operator="containsText" text="75">
      <formula>NOT(ISERROR(SEARCH("75",K207)))</formula>
    </cfRule>
    <cfRule type="containsText" dxfId="243" priority="1257" operator="containsText" text="25">
      <formula>NOT(ISERROR(SEARCH("25",K207)))</formula>
    </cfRule>
  </conditionalFormatting>
  <conditionalFormatting sqref="M127">
    <cfRule type="containsText" dxfId="242" priority="509" operator="containsText" text="25">
      <formula>NOT(ISERROR(SEARCH("25",M127)))</formula>
    </cfRule>
    <cfRule type="containsText" dxfId="241" priority="512" operator="containsText" text="75">
      <formula>NOT(ISERROR(SEARCH("75",M127)))</formula>
    </cfRule>
    <cfRule type="containsText" dxfId="240" priority="511" operator="containsText" text="100">
      <formula>NOT(ISERROR(SEARCH("100",M127)))</formula>
    </cfRule>
    <cfRule type="containsText" dxfId="239" priority="510" operator="containsText" text="50">
      <formula>NOT(ISERROR(SEARCH("50",M127)))</formula>
    </cfRule>
  </conditionalFormatting>
  <conditionalFormatting sqref="M133">
    <cfRule type="containsText" dxfId="238" priority="496" operator="containsText" text="75">
      <formula>NOT(ISERROR(SEARCH("75",M133)))</formula>
    </cfRule>
    <cfRule type="containsText" dxfId="237" priority="495" operator="containsText" text="100">
      <formula>NOT(ISERROR(SEARCH("100",M133)))</formula>
    </cfRule>
    <cfRule type="containsText" dxfId="236" priority="494" operator="containsText" text="50">
      <formula>NOT(ISERROR(SEARCH("50",M133)))</formula>
    </cfRule>
    <cfRule type="containsText" dxfId="235" priority="493" operator="containsText" text="25">
      <formula>NOT(ISERROR(SEARCH("25",M133)))</formula>
    </cfRule>
  </conditionalFormatting>
  <conditionalFormatting sqref="M139">
    <cfRule type="containsText" dxfId="234" priority="549" operator="containsText" text="25">
      <formula>NOT(ISERROR(SEARCH("25",M139)))</formula>
    </cfRule>
    <cfRule type="containsText" dxfId="233" priority="550" operator="containsText" text="50">
      <formula>NOT(ISERROR(SEARCH("50",M139)))</formula>
    </cfRule>
    <cfRule type="containsText" dxfId="232" priority="551" operator="containsText" text="100">
      <formula>NOT(ISERROR(SEARCH("100",M139)))</formula>
    </cfRule>
    <cfRule type="containsText" dxfId="231" priority="552" operator="containsText" text="75">
      <formula>NOT(ISERROR(SEARCH("75",M139)))</formula>
    </cfRule>
  </conditionalFormatting>
  <conditionalFormatting sqref="M145">
    <cfRule type="containsText" dxfId="230" priority="513" operator="containsText" text="25">
      <formula>NOT(ISERROR(SEARCH("25",M145)))</formula>
    </cfRule>
    <cfRule type="containsText" dxfId="229" priority="514" operator="containsText" text="50">
      <formula>NOT(ISERROR(SEARCH("50",M145)))</formula>
    </cfRule>
    <cfRule type="containsText" dxfId="228" priority="515" operator="containsText" text="100">
      <formula>NOT(ISERROR(SEARCH("100",M145)))</formula>
    </cfRule>
    <cfRule type="containsText" dxfId="227" priority="516" operator="containsText" text="75">
      <formula>NOT(ISERROR(SEARCH("75",M145)))</formula>
    </cfRule>
  </conditionalFormatting>
  <conditionalFormatting sqref="M151">
    <cfRule type="containsText" dxfId="226" priority="483" operator="containsText" text="100">
      <formula>NOT(ISERROR(SEARCH("100",M151)))</formula>
    </cfRule>
    <cfRule type="containsText" dxfId="225" priority="481" operator="containsText" text="25">
      <formula>NOT(ISERROR(SEARCH("25",M151)))</formula>
    </cfRule>
    <cfRule type="containsText" dxfId="224" priority="482" operator="containsText" text="50">
      <formula>NOT(ISERROR(SEARCH("50",M151)))</formula>
    </cfRule>
    <cfRule type="containsText" dxfId="223" priority="484" operator="containsText" text="75">
      <formula>NOT(ISERROR(SEARCH("75",M151)))</formula>
    </cfRule>
  </conditionalFormatting>
  <conditionalFormatting sqref="M157">
    <cfRule type="containsText" dxfId="222" priority="492" operator="containsText" text="75">
      <formula>NOT(ISERROR(SEARCH("75",M157)))</formula>
    </cfRule>
    <cfRule type="containsText" dxfId="221" priority="491" operator="containsText" text="100">
      <formula>NOT(ISERROR(SEARCH("100",M157)))</formula>
    </cfRule>
    <cfRule type="containsText" dxfId="220" priority="490" operator="containsText" text="50">
      <formula>NOT(ISERROR(SEARCH("50",M157)))</formula>
    </cfRule>
    <cfRule type="containsText" dxfId="219" priority="489" operator="containsText" text="25">
      <formula>NOT(ISERROR(SEARCH("25",M157)))</formula>
    </cfRule>
  </conditionalFormatting>
  <conditionalFormatting sqref="M169">
    <cfRule type="containsText" dxfId="218" priority="543" operator="containsText" text="100">
      <formula>NOT(ISERROR(SEARCH("100",M169)))</formula>
    </cfRule>
    <cfRule type="containsText" dxfId="217" priority="541" operator="containsText" text="25">
      <formula>NOT(ISERROR(SEARCH("25",M169)))</formula>
    </cfRule>
    <cfRule type="containsText" dxfId="216" priority="542" operator="containsText" text="50">
      <formula>NOT(ISERROR(SEARCH("50",M169)))</formula>
    </cfRule>
    <cfRule type="containsText" dxfId="215" priority="544" operator="containsText" text="75">
      <formula>NOT(ISERROR(SEARCH("75",M169)))</formula>
    </cfRule>
  </conditionalFormatting>
  <conditionalFormatting sqref="M174:M175">
    <cfRule type="containsText" dxfId="214" priority="539" operator="containsText" text="100">
      <formula>NOT(ISERROR(SEARCH("100",M174)))</formula>
    </cfRule>
    <cfRule type="containsText" dxfId="213" priority="540" operator="containsText" text="75">
      <formula>NOT(ISERROR(SEARCH("75",M174)))</formula>
    </cfRule>
    <cfRule type="containsText" dxfId="212" priority="538" operator="containsText" text="50">
      <formula>NOT(ISERROR(SEARCH("50",M174)))</formula>
    </cfRule>
    <cfRule type="containsText" dxfId="211" priority="537" operator="containsText" text="25">
      <formula>NOT(ISERROR(SEARCH("25",M174)))</formula>
    </cfRule>
  </conditionalFormatting>
  <conditionalFormatting sqref="M181">
    <cfRule type="containsText" dxfId="210" priority="532" operator="containsText" text="75">
      <formula>NOT(ISERROR(SEARCH("75",M181)))</formula>
    </cfRule>
    <cfRule type="containsText" dxfId="209" priority="531" operator="containsText" text="100">
      <formula>NOT(ISERROR(SEARCH("100",M181)))</formula>
    </cfRule>
    <cfRule type="containsText" dxfId="208" priority="530" operator="containsText" text="50">
      <formula>NOT(ISERROR(SEARCH("50",M181)))</formula>
    </cfRule>
    <cfRule type="containsText" dxfId="207" priority="529" operator="containsText" text="25">
      <formula>NOT(ISERROR(SEARCH("25",M181)))</formula>
    </cfRule>
  </conditionalFormatting>
  <conditionalFormatting sqref="M193">
    <cfRule type="containsText" dxfId="206" priority="485" operator="containsText" text="25">
      <formula>NOT(ISERROR(SEARCH("25",M193)))</formula>
    </cfRule>
    <cfRule type="containsText" dxfId="205" priority="488" operator="containsText" text="75">
      <formula>NOT(ISERROR(SEARCH("75",M193)))</formula>
    </cfRule>
    <cfRule type="containsText" dxfId="204" priority="487" operator="containsText" text="100">
      <formula>NOT(ISERROR(SEARCH("100",M193)))</formula>
    </cfRule>
    <cfRule type="containsText" dxfId="203" priority="486" operator="containsText" text="50">
      <formula>NOT(ISERROR(SEARCH("50",M193)))</formula>
    </cfRule>
  </conditionalFormatting>
  <conditionalFormatting sqref="M199">
    <cfRule type="containsText" dxfId="202" priority="526" operator="containsText" text="50">
      <formula>NOT(ISERROR(SEARCH("50",M199)))</formula>
    </cfRule>
    <cfRule type="containsText" dxfId="201" priority="525" operator="containsText" text="25">
      <formula>NOT(ISERROR(SEARCH("25",M199)))</formula>
    </cfRule>
    <cfRule type="containsText" dxfId="200" priority="528" operator="containsText" text="75">
      <formula>NOT(ISERROR(SEARCH("75",M199)))</formula>
    </cfRule>
    <cfRule type="containsText" dxfId="199" priority="527" operator="containsText" text="100">
      <formula>NOT(ISERROR(SEARCH("100",M199)))</formula>
    </cfRule>
  </conditionalFormatting>
  <conditionalFormatting sqref="M205">
    <cfRule type="containsText" dxfId="198" priority="524" operator="containsText" text="75">
      <formula>NOT(ISERROR(SEARCH("75",M205)))</formula>
    </cfRule>
    <cfRule type="containsText" dxfId="197" priority="522" operator="containsText" text="50">
      <formula>NOT(ISERROR(SEARCH("50",M205)))</formula>
    </cfRule>
    <cfRule type="containsText" dxfId="196" priority="521" operator="containsText" text="25">
      <formula>NOT(ISERROR(SEARCH("25",M205)))</formula>
    </cfRule>
    <cfRule type="containsText" dxfId="195" priority="523" operator="containsText" text="100">
      <formula>NOT(ISERROR(SEARCH("100",M205)))</formula>
    </cfRule>
  </conditionalFormatting>
  <conditionalFormatting sqref="M118:N119">
    <cfRule type="containsText" dxfId="194" priority="697" operator="containsText" text="25">
      <formula>NOT(ISERROR(SEARCH("25",M118)))</formula>
    </cfRule>
    <cfRule type="containsText" dxfId="193" priority="698" operator="containsText" text="50">
      <formula>NOT(ISERROR(SEARCH("50",M118)))</formula>
    </cfRule>
    <cfRule type="containsText" dxfId="192" priority="699" operator="containsText" text="100">
      <formula>NOT(ISERROR(SEARCH("100",M118)))</formula>
    </cfRule>
    <cfRule type="containsText" dxfId="191" priority="700" operator="containsText" text="75">
      <formula>NOT(ISERROR(SEARCH("75",M118)))</formula>
    </cfRule>
  </conditionalFormatting>
  <conditionalFormatting sqref="M121:N121">
    <cfRule type="containsText" dxfId="190" priority="555" operator="containsText" text="100">
      <formula>NOT(ISERROR(SEARCH("100",M121)))</formula>
    </cfRule>
    <cfRule type="containsText" dxfId="189" priority="553" operator="containsText" text="25">
      <formula>NOT(ISERROR(SEARCH("25",M121)))</formula>
    </cfRule>
    <cfRule type="containsText" dxfId="188" priority="554" operator="containsText" text="50">
      <formula>NOT(ISERROR(SEARCH("50",M121)))</formula>
    </cfRule>
    <cfRule type="containsText" dxfId="187" priority="556" operator="containsText" text="75">
      <formula>NOT(ISERROR(SEARCH("75",M121)))</formula>
    </cfRule>
  </conditionalFormatting>
  <conditionalFormatting sqref="M124:N125">
    <cfRule type="containsText" dxfId="186" priority="693" operator="containsText" text="25">
      <formula>NOT(ISERROR(SEARCH("25",M124)))</formula>
    </cfRule>
    <cfRule type="containsText" dxfId="185" priority="694" operator="containsText" text="50">
      <formula>NOT(ISERROR(SEARCH("50",M124)))</formula>
    </cfRule>
    <cfRule type="containsText" dxfId="184" priority="695" operator="containsText" text="100">
      <formula>NOT(ISERROR(SEARCH("100",M124)))</formula>
    </cfRule>
    <cfRule type="containsText" dxfId="183" priority="696" operator="containsText" text="75">
      <formula>NOT(ISERROR(SEARCH("75",M124)))</formula>
    </cfRule>
  </conditionalFormatting>
  <conditionalFormatting sqref="M130:N131">
    <cfRule type="containsText" dxfId="182" priority="689" operator="containsText" text="25">
      <formula>NOT(ISERROR(SEARCH("25",M130)))</formula>
    </cfRule>
    <cfRule type="containsText" dxfId="181" priority="690" operator="containsText" text="50">
      <formula>NOT(ISERROR(SEARCH("50",M130)))</formula>
    </cfRule>
    <cfRule type="containsText" dxfId="180" priority="691" operator="containsText" text="100">
      <formula>NOT(ISERROR(SEARCH("100",M130)))</formula>
    </cfRule>
    <cfRule type="containsText" dxfId="179" priority="692" operator="containsText" text="75">
      <formula>NOT(ISERROR(SEARCH("75",M130)))</formula>
    </cfRule>
  </conditionalFormatting>
  <conditionalFormatting sqref="M136:N137">
    <cfRule type="containsText" dxfId="178" priority="688" operator="containsText" text="75">
      <formula>NOT(ISERROR(SEARCH("75",M136)))</formula>
    </cfRule>
    <cfRule type="containsText" dxfId="177" priority="687" operator="containsText" text="100">
      <formula>NOT(ISERROR(SEARCH("100",M136)))</formula>
    </cfRule>
    <cfRule type="containsText" dxfId="176" priority="686" operator="containsText" text="50">
      <formula>NOT(ISERROR(SEARCH("50",M136)))</formula>
    </cfRule>
    <cfRule type="containsText" dxfId="175" priority="685" operator="containsText" text="25">
      <formula>NOT(ISERROR(SEARCH("25",M136)))</formula>
    </cfRule>
  </conditionalFormatting>
  <conditionalFormatting sqref="M142:N143">
    <cfRule type="containsText" dxfId="174" priority="681" operator="containsText" text="25">
      <formula>NOT(ISERROR(SEARCH("25",M142)))</formula>
    </cfRule>
    <cfRule type="containsText" dxfId="173" priority="684" operator="containsText" text="75">
      <formula>NOT(ISERROR(SEARCH("75",M142)))</formula>
    </cfRule>
    <cfRule type="containsText" dxfId="172" priority="683" operator="containsText" text="100">
      <formula>NOT(ISERROR(SEARCH("100",M142)))</formula>
    </cfRule>
    <cfRule type="containsText" dxfId="171" priority="682" operator="containsText" text="50">
      <formula>NOT(ISERROR(SEARCH("50",M142)))</formula>
    </cfRule>
  </conditionalFormatting>
  <conditionalFormatting sqref="M148:N149">
    <cfRule type="containsText" dxfId="170" priority="677" operator="containsText" text="25">
      <formula>NOT(ISERROR(SEARCH("25",M148)))</formula>
    </cfRule>
    <cfRule type="containsText" dxfId="169" priority="680" operator="containsText" text="75">
      <formula>NOT(ISERROR(SEARCH("75",M148)))</formula>
    </cfRule>
    <cfRule type="containsText" dxfId="168" priority="679" operator="containsText" text="100">
      <formula>NOT(ISERROR(SEARCH("100",M148)))</formula>
    </cfRule>
    <cfRule type="containsText" dxfId="167" priority="678" operator="containsText" text="50">
      <formula>NOT(ISERROR(SEARCH("50",M148)))</formula>
    </cfRule>
  </conditionalFormatting>
  <conditionalFormatting sqref="M154:N155">
    <cfRule type="containsText" dxfId="166" priority="676" operator="containsText" text="75">
      <formula>NOT(ISERROR(SEARCH("75",M154)))</formula>
    </cfRule>
    <cfRule type="containsText" dxfId="165" priority="673" operator="containsText" text="25">
      <formula>NOT(ISERROR(SEARCH("25",M154)))</formula>
    </cfRule>
    <cfRule type="containsText" dxfId="164" priority="674" operator="containsText" text="50">
      <formula>NOT(ISERROR(SEARCH("50",M154)))</formula>
    </cfRule>
    <cfRule type="containsText" dxfId="163" priority="675" operator="containsText" text="100">
      <formula>NOT(ISERROR(SEARCH("100",M154)))</formula>
    </cfRule>
  </conditionalFormatting>
  <conditionalFormatting sqref="M160:N161">
    <cfRule type="containsText" dxfId="162" priority="669" operator="containsText" text="25">
      <formula>NOT(ISERROR(SEARCH("25",M160)))</formula>
    </cfRule>
    <cfRule type="containsText" dxfId="161" priority="670" operator="containsText" text="50">
      <formula>NOT(ISERROR(SEARCH("50",M160)))</formula>
    </cfRule>
    <cfRule type="containsText" dxfId="160" priority="671" operator="containsText" text="100">
      <formula>NOT(ISERROR(SEARCH("100",M160)))</formula>
    </cfRule>
    <cfRule type="containsText" dxfId="159" priority="672" operator="containsText" text="75">
      <formula>NOT(ISERROR(SEARCH("75",M160)))</formula>
    </cfRule>
  </conditionalFormatting>
  <conditionalFormatting sqref="M163:N163">
    <cfRule type="containsText" dxfId="158" priority="548" operator="containsText" text="75">
      <formula>NOT(ISERROR(SEARCH("75",M163)))</formula>
    </cfRule>
    <cfRule type="containsText" dxfId="157" priority="547" operator="containsText" text="100">
      <formula>NOT(ISERROR(SEARCH("100",M163)))</formula>
    </cfRule>
    <cfRule type="containsText" dxfId="156" priority="546" operator="containsText" text="50">
      <formula>NOT(ISERROR(SEARCH("50",M163)))</formula>
    </cfRule>
    <cfRule type="containsText" dxfId="155" priority="545" operator="containsText" text="25">
      <formula>NOT(ISERROR(SEARCH("25",M163)))</formula>
    </cfRule>
  </conditionalFormatting>
  <conditionalFormatting sqref="M166:N167">
    <cfRule type="containsText" dxfId="154" priority="668" operator="containsText" text="75">
      <formula>NOT(ISERROR(SEARCH("75",M166)))</formula>
    </cfRule>
    <cfRule type="containsText" dxfId="153" priority="667" operator="containsText" text="100">
      <formula>NOT(ISERROR(SEARCH("100",M166)))</formula>
    </cfRule>
    <cfRule type="containsText" dxfId="152" priority="666" operator="containsText" text="50">
      <formula>NOT(ISERROR(SEARCH("50",M166)))</formula>
    </cfRule>
    <cfRule type="containsText" dxfId="151" priority="665" operator="containsText" text="25">
      <formula>NOT(ISERROR(SEARCH("25",M166)))</formula>
    </cfRule>
  </conditionalFormatting>
  <conditionalFormatting sqref="M171:N172">
    <cfRule type="containsText" dxfId="150" priority="662" operator="containsText" text="50">
      <formula>NOT(ISERROR(SEARCH("50",M171)))</formula>
    </cfRule>
    <cfRule type="containsText" dxfId="149" priority="663" operator="containsText" text="100">
      <formula>NOT(ISERROR(SEARCH("100",M171)))</formula>
    </cfRule>
    <cfRule type="containsText" dxfId="148" priority="661" operator="containsText" text="25">
      <formula>NOT(ISERROR(SEARCH("25",M171)))</formula>
    </cfRule>
    <cfRule type="containsText" dxfId="147" priority="664" operator="containsText" text="75">
      <formula>NOT(ISERROR(SEARCH("75",M171)))</formula>
    </cfRule>
  </conditionalFormatting>
  <conditionalFormatting sqref="M178:N179">
    <cfRule type="containsText" dxfId="146" priority="657" operator="containsText" text="25">
      <formula>NOT(ISERROR(SEARCH("25",M178)))</formula>
    </cfRule>
    <cfRule type="containsText" dxfId="145" priority="658" operator="containsText" text="50">
      <formula>NOT(ISERROR(SEARCH("50",M178)))</formula>
    </cfRule>
    <cfRule type="containsText" dxfId="144" priority="659" operator="containsText" text="100">
      <formula>NOT(ISERROR(SEARCH("100",M178)))</formula>
    </cfRule>
    <cfRule type="containsText" dxfId="143" priority="660" operator="containsText" text="75">
      <formula>NOT(ISERROR(SEARCH("75",M178)))</formula>
    </cfRule>
  </conditionalFormatting>
  <conditionalFormatting sqref="M184:N185">
    <cfRule type="containsText" dxfId="142" priority="653" operator="containsText" text="25">
      <formula>NOT(ISERROR(SEARCH("25",M184)))</formula>
    </cfRule>
    <cfRule type="containsText" dxfId="141" priority="654" operator="containsText" text="50">
      <formula>NOT(ISERROR(SEARCH("50",M184)))</formula>
    </cfRule>
    <cfRule type="containsText" dxfId="140" priority="655" operator="containsText" text="100">
      <formula>NOT(ISERROR(SEARCH("100",M184)))</formula>
    </cfRule>
    <cfRule type="containsText" dxfId="139" priority="656" operator="containsText" text="75">
      <formula>NOT(ISERROR(SEARCH("75",M184)))</formula>
    </cfRule>
  </conditionalFormatting>
  <conditionalFormatting sqref="M187:N187">
    <cfRule type="containsText" dxfId="138" priority="536" operator="containsText" text="75">
      <formula>NOT(ISERROR(SEARCH("75",M187)))</formula>
    </cfRule>
    <cfRule type="containsText" dxfId="137" priority="535" operator="containsText" text="100">
      <formula>NOT(ISERROR(SEARCH("100",M187)))</formula>
    </cfRule>
    <cfRule type="containsText" dxfId="136" priority="533" operator="containsText" text="25">
      <formula>NOT(ISERROR(SEARCH("25",M187)))</formula>
    </cfRule>
    <cfRule type="containsText" dxfId="135" priority="534" operator="containsText" text="50">
      <formula>NOT(ISERROR(SEARCH("50",M187)))</formula>
    </cfRule>
  </conditionalFormatting>
  <conditionalFormatting sqref="M190:N191">
    <cfRule type="containsText" dxfId="134" priority="652" operator="containsText" text="75">
      <formula>NOT(ISERROR(SEARCH("75",M190)))</formula>
    </cfRule>
    <cfRule type="containsText" dxfId="133" priority="651" operator="containsText" text="100">
      <formula>NOT(ISERROR(SEARCH("100",M190)))</formula>
    </cfRule>
    <cfRule type="containsText" dxfId="132" priority="650" operator="containsText" text="50">
      <formula>NOT(ISERROR(SEARCH("50",M190)))</formula>
    </cfRule>
    <cfRule type="containsText" dxfId="131" priority="649" operator="containsText" text="25">
      <formula>NOT(ISERROR(SEARCH("25",M190)))</formula>
    </cfRule>
  </conditionalFormatting>
  <conditionalFormatting sqref="M196:N197">
    <cfRule type="containsText" dxfId="130" priority="646" operator="containsText" text="50">
      <formula>NOT(ISERROR(SEARCH("50",M196)))</formula>
    </cfRule>
    <cfRule type="containsText" dxfId="129" priority="645" operator="containsText" text="25">
      <formula>NOT(ISERROR(SEARCH("25",M196)))</formula>
    </cfRule>
    <cfRule type="containsText" dxfId="128" priority="647" operator="containsText" text="100">
      <formula>NOT(ISERROR(SEARCH("100",M196)))</formula>
    </cfRule>
    <cfRule type="containsText" dxfId="127" priority="648" operator="containsText" text="75">
      <formula>NOT(ISERROR(SEARCH("75",M196)))</formula>
    </cfRule>
  </conditionalFormatting>
  <conditionalFormatting sqref="M202:N203">
    <cfRule type="containsText" dxfId="126" priority="644" operator="containsText" text="75">
      <formula>NOT(ISERROR(SEARCH("75",M202)))</formula>
    </cfRule>
    <cfRule type="containsText" dxfId="125" priority="643" operator="containsText" text="100">
      <formula>NOT(ISERROR(SEARCH("100",M202)))</formula>
    </cfRule>
    <cfRule type="containsText" dxfId="124" priority="642" operator="containsText" text="50">
      <formula>NOT(ISERROR(SEARCH("50",M202)))</formula>
    </cfRule>
    <cfRule type="containsText" dxfId="123" priority="641" operator="containsText" text="25">
      <formula>NOT(ISERROR(SEARCH("25",M202)))</formula>
    </cfRule>
  </conditionalFormatting>
  <conditionalFormatting sqref="M208:N209">
    <cfRule type="containsText" dxfId="122" priority="638" operator="containsText" text="50">
      <formula>NOT(ISERROR(SEARCH("50",M208)))</formula>
    </cfRule>
    <cfRule type="containsText" dxfId="121" priority="637" operator="containsText" text="25">
      <formula>NOT(ISERROR(SEARCH("25",M208)))</formula>
    </cfRule>
    <cfRule type="containsText" dxfId="120" priority="639" operator="containsText" text="100">
      <formula>NOT(ISERROR(SEARCH("100",M208)))</formula>
    </cfRule>
    <cfRule type="containsText" dxfId="119" priority="640" operator="containsText" text="75">
      <formula>NOT(ISERROR(SEARCH("75",M208)))</formula>
    </cfRule>
  </conditionalFormatting>
  <conditionalFormatting sqref="M211:N211">
    <cfRule type="containsText" dxfId="118" priority="519" operator="containsText" text="100">
      <formula>NOT(ISERROR(SEARCH("100",M211)))</formula>
    </cfRule>
    <cfRule type="containsText" dxfId="117" priority="520" operator="containsText" text="75">
      <formula>NOT(ISERROR(SEARCH("75",M211)))</formula>
    </cfRule>
    <cfRule type="containsText" dxfId="116" priority="517" operator="containsText" text="25">
      <formula>NOT(ISERROR(SEARCH("25",M211)))</formula>
    </cfRule>
    <cfRule type="containsText" dxfId="115" priority="518" operator="containsText" text="50">
      <formula>NOT(ISERROR(SEARCH("50",M211)))</formula>
    </cfRule>
  </conditionalFormatting>
  <conditionalFormatting sqref="O115:U115">
    <cfRule type="containsText" dxfId="114" priority="269" operator="containsText" text="25">
      <formula>NOT(ISERROR(SEARCH("25",O115)))</formula>
    </cfRule>
    <cfRule type="containsText" dxfId="113" priority="272" operator="containsText" text="75">
      <formula>NOT(ISERROR(SEARCH("75",O115)))</formula>
    </cfRule>
    <cfRule type="containsText" dxfId="112" priority="271" operator="containsText" text="100">
      <formula>NOT(ISERROR(SEARCH("100",O115)))</formula>
    </cfRule>
    <cfRule type="containsText" dxfId="111" priority="270" operator="containsText" text="50">
      <formula>NOT(ISERROR(SEARCH("50",O115)))</formula>
    </cfRule>
  </conditionalFormatting>
  <conditionalFormatting sqref="O17:BF17">
    <cfRule type="containsText" dxfId="110" priority="1384" operator="containsText" text="75">
      <formula>NOT(ISERROR(SEARCH("75",O17)))</formula>
    </cfRule>
    <cfRule type="containsText" dxfId="109" priority="1383" operator="containsText" text="100">
      <formula>NOT(ISERROR(SEARCH("100",O17)))</formula>
    </cfRule>
    <cfRule type="containsText" dxfId="108" priority="1381" operator="containsText" text="25">
      <formula>NOT(ISERROR(SEARCH("25",O17)))</formula>
    </cfRule>
    <cfRule type="containsText" dxfId="107" priority="1382" operator="containsText" text="50">
      <formula>NOT(ISERROR(SEARCH("50",O17)))</formula>
    </cfRule>
  </conditionalFormatting>
  <conditionalFormatting sqref="P77:V77">
    <cfRule type="containsText" dxfId="106" priority="466" operator="containsText" text="50">
      <formula>NOT(ISERROR(SEARCH("50",P77)))</formula>
    </cfRule>
    <cfRule type="containsText" dxfId="105" priority="467" operator="containsText" text="100">
      <formula>NOT(ISERROR(SEARCH("100",P77)))</formula>
    </cfRule>
    <cfRule type="containsText" dxfId="104" priority="468" operator="containsText" text="75">
      <formula>NOT(ISERROR(SEARCH("75",P77)))</formula>
    </cfRule>
    <cfRule type="containsText" dxfId="103" priority="465" operator="containsText" text="25">
      <formula>NOT(ISERROR(SEARCH("25",P77)))</formula>
    </cfRule>
  </conditionalFormatting>
  <conditionalFormatting sqref="U118">
    <cfRule type="containsText" dxfId="102" priority="150" operator="containsText" text="50">
      <formula>NOT(ISERROR(SEARCH("50",U118)))</formula>
    </cfRule>
    <cfRule type="containsText" dxfId="101" priority="151" operator="containsText" text="100">
      <formula>NOT(ISERROR(SEARCH("100",U118)))</formula>
    </cfRule>
    <cfRule type="containsText" dxfId="100" priority="152" operator="containsText" text="75">
      <formula>NOT(ISERROR(SEARCH("75",U118)))</formula>
    </cfRule>
    <cfRule type="containsText" dxfId="99" priority="149" operator="containsText" text="25">
      <formula>NOT(ISERROR(SEARCH("25",U118)))</formula>
    </cfRule>
  </conditionalFormatting>
  <conditionalFormatting sqref="U120:U121">
    <cfRule type="containsText" dxfId="98" priority="148" operator="containsText" text="75">
      <formula>NOT(ISERROR(SEARCH("75",U120)))</formula>
    </cfRule>
    <cfRule type="containsText" dxfId="97" priority="145" operator="containsText" text="25">
      <formula>NOT(ISERROR(SEARCH("25",U120)))</formula>
    </cfRule>
    <cfRule type="containsText" dxfId="96" priority="146" operator="containsText" text="50">
      <formula>NOT(ISERROR(SEARCH("50",U120)))</formula>
    </cfRule>
    <cfRule type="containsText" dxfId="95" priority="147" operator="containsText" text="100">
      <formula>NOT(ISERROR(SEARCH("100",U120)))</formula>
    </cfRule>
  </conditionalFormatting>
  <conditionalFormatting sqref="U124:U127">
    <cfRule type="containsText" dxfId="94" priority="137" operator="containsText" text="25">
      <formula>NOT(ISERROR(SEARCH("25",U124)))</formula>
    </cfRule>
    <cfRule type="containsText" dxfId="93" priority="140" operator="containsText" text="75">
      <formula>NOT(ISERROR(SEARCH("75",U124)))</formula>
    </cfRule>
    <cfRule type="containsText" dxfId="92" priority="139" operator="containsText" text="100">
      <formula>NOT(ISERROR(SEARCH("100",U124)))</formula>
    </cfRule>
    <cfRule type="containsText" dxfId="91" priority="138" operator="containsText" text="50">
      <formula>NOT(ISERROR(SEARCH("50",U124)))</formula>
    </cfRule>
  </conditionalFormatting>
  <conditionalFormatting sqref="U137:U139">
    <cfRule type="containsText" dxfId="90" priority="121" operator="containsText" text="25">
      <formula>NOT(ISERROR(SEARCH("25",U137)))</formula>
    </cfRule>
    <cfRule type="containsText" dxfId="89" priority="122" operator="containsText" text="50">
      <formula>NOT(ISERROR(SEARCH("50",U137)))</formula>
    </cfRule>
    <cfRule type="containsText" dxfId="88" priority="123" operator="containsText" text="100">
      <formula>NOT(ISERROR(SEARCH("100",U137)))</formula>
    </cfRule>
    <cfRule type="containsText" dxfId="87" priority="124" operator="containsText" text="75">
      <formula>NOT(ISERROR(SEARCH("75",U137)))</formula>
    </cfRule>
  </conditionalFormatting>
  <conditionalFormatting sqref="U142:U145">
    <cfRule type="containsText" dxfId="86" priority="115" operator="containsText" text="100">
      <formula>NOT(ISERROR(SEARCH("100",U142)))</formula>
    </cfRule>
    <cfRule type="containsText" dxfId="85" priority="114" operator="containsText" text="50">
      <formula>NOT(ISERROR(SEARCH("50",U142)))</formula>
    </cfRule>
    <cfRule type="containsText" dxfId="84" priority="113" operator="containsText" text="25">
      <formula>NOT(ISERROR(SEARCH("25",U142)))</formula>
    </cfRule>
    <cfRule type="containsText" dxfId="83" priority="116" operator="containsText" text="75">
      <formula>NOT(ISERROR(SEARCH("75",U142)))</formula>
    </cfRule>
  </conditionalFormatting>
  <conditionalFormatting sqref="U154:U157">
    <cfRule type="containsText" dxfId="82" priority="97" operator="containsText" text="25">
      <formula>NOT(ISERROR(SEARCH("25",U154)))</formula>
    </cfRule>
    <cfRule type="containsText" dxfId="81" priority="98" operator="containsText" text="50">
      <formula>NOT(ISERROR(SEARCH("50",U154)))</formula>
    </cfRule>
    <cfRule type="containsText" dxfId="80" priority="99" operator="containsText" text="100">
      <formula>NOT(ISERROR(SEARCH("100",U154)))</formula>
    </cfRule>
    <cfRule type="containsText" dxfId="79" priority="100" operator="containsText" text="75">
      <formula>NOT(ISERROR(SEARCH("75",U154)))</formula>
    </cfRule>
  </conditionalFormatting>
  <conditionalFormatting sqref="U160:U163">
    <cfRule type="containsText" dxfId="78" priority="89" operator="containsText" text="25">
      <formula>NOT(ISERROR(SEARCH("25",U160)))</formula>
    </cfRule>
    <cfRule type="containsText" dxfId="77" priority="90" operator="containsText" text="50">
      <formula>NOT(ISERROR(SEARCH("50",U160)))</formula>
    </cfRule>
    <cfRule type="containsText" dxfId="76" priority="91" operator="containsText" text="100">
      <formula>NOT(ISERROR(SEARCH("100",U160)))</formula>
    </cfRule>
    <cfRule type="containsText" dxfId="75" priority="92" operator="containsText" text="75">
      <formula>NOT(ISERROR(SEARCH("75",U160)))</formula>
    </cfRule>
  </conditionalFormatting>
  <conditionalFormatting sqref="U166:U169">
    <cfRule type="containsText" dxfId="74" priority="83" operator="containsText" text="100">
      <formula>NOT(ISERROR(SEARCH("100",U166)))</formula>
    </cfRule>
    <cfRule type="containsText" dxfId="73" priority="81" operator="containsText" text="25">
      <formula>NOT(ISERROR(SEARCH("25",U166)))</formula>
    </cfRule>
    <cfRule type="containsText" dxfId="72" priority="82" operator="containsText" text="50">
      <formula>NOT(ISERROR(SEARCH("50",U166)))</formula>
    </cfRule>
    <cfRule type="containsText" dxfId="71" priority="84" operator="containsText" text="75">
      <formula>NOT(ISERROR(SEARCH("75",U166)))</formula>
    </cfRule>
  </conditionalFormatting>
  <conditionalFormatting sqref="U171:U174">
    <cfRule type="containsText" dxfId="70" priority="76" operator="containsText" text="75">
      <formula>NOT(ISERROR(SEARCH("75",U171)))</formula>
    </cfRule>
    <cfRule type="containsText" dxfId="69" priority="73" operator="containsText" text="25">
      <formula>NOT(ISERROR(SEARCH("25",U171)))</formula>
    </cfRule>
    <cfRule type="containsText" dxfId="68" priority="74" operator="containsText" text="50">
      <formula>NOT(ISERROR(SEARCH("50",U171)))</formula>
    </cfRule>
    <cfRule type="containsText" dxfId="67" priority="75" operator="containsText" text="100">
      <formula>NOT(ISERROR(SEARCH("100",U171)))</formula>
    </cfRule>
  </conditionalFormatting>
  <conditionalFormatting sqref="U178:U181">
    <cfRule type="containsText" dxfId="66" priority="61" operator="containsText" text="25">
      <formula>NOT(ISERROR(SEARCH("25",U178)))</formula>
    </cfRule>
    <cfRule type="containsText" dxfId="65" priority="62" operator="containsText" text="50">
      <formula>NOT(ISERROR(SEARCH("50",U178)))</formula>
    </cfRule>
    <cfRule type="containsText" dxfId="64" priority="63" operator="containsText" text="100">
      <formula>NOT(ISERROR(SEARCH("100",U178)))</formula>
    </cfRule>
    <cfRule type="containsText" dxfId="63" priority="64" operator="containsText" text="75">
      <formula>NOT(ISERROR(SEARCH("75",U178)))</formula>
    </cfRule>
  </conditionalFormatting>
  <conditionalFormatting sqref="U184:U187">
    <cfRule type="containsText" dxfId="62" priority="49" operator="containsText" text="25">
      <formula>NOT(ISERROR(SEARCH("25",U184)))</formula>
    </cfRule>
    <cfRule type="containsText" dxfId="61" priority="50" operator="containsText" text="50">
      <formula>NOT(ISERROR(SEARCH("50",U184)))</formula>
    </cfRule>
    <cfRule type="containsText" dxfId="60" priority="51" operator="containsText" text="100">
      <formula>NOT(ISERROR(SEARCH("100",U184)))</formula>
    </cfRule>
    <cfRule type="containsText" dxfId="59" priority="52" operator="containsText" text="75">
      <formula>NOT(ISERROR(SEARCH("75",U184)))</formula>
    </cfRule>
  </conditionalFormatting>
  <conditionalFormatting sqref="U190:U193">
    <cfRule type="containsText" dxfId="58" priority="38" operator="containsText" text="50">
      <formula>NOT(ISERROR(SEARCH("50",U190)))</formula>
    </cfRule>
    <cfRule type="containsText" dxfId="57" priority="39" operator="containsText" text="100">
      <formula>NOT(ISERROR(SEARCH("100",U190)))</formula>
    </cfRule>
    <cfRule type="containsText" dxfId="56" priority="40" operator="containsText" text="75">
      <formula>NOT(ISERROR(SEARCH("75",U190)))</formula>
    </cfRule>
    <cfRule type="containsText" dxfId="55" priority="37" operator="containsText" text="25">
      <formula>NOT(ISERROR(SEARCH("25",U190)))</formula>
    </cfRule>
  </conditionalFormatting>
  <conditionalFormatting sqref="U196:U199">
    <cfRule type="containsText" dxfId="54" priority="32" operator="containsText" text="75">
      <formula>NOT(ISERROR(SEARCH("75",U196)))</formula>
    </cfRule>
    <cfRule type="containsText" dxfId="53" priority="31" operator="containsText" text="100">
      <formula>NOT(ISERROR(SEARCH("100",U196)))</formula>
    </cfRule>
    <cfRule type="containsText" dxfId="52" priority="30" operator="containsText" text="50">
      <formula>NOT(ISERROR(SEARCH("50",U196)))</formula>
    </cfRule>
    <cfRule type="containsText" dxfId="51" priority="29" operator="containsText" text="25">
      <formula>NOT(ISERROR(SEARCH("25",U196)))</formula>
    </cfRule>
  </conditionalFormatting>
  <conditionalFormatting sqref="U202:U205">
    <cfRule type="containsText" dxfId="50" priority="17" operator="containsText" text="25">
      <formula>NOT(ISERROR(SEARCH("25",U202)))</formula>
    </cfRule>
    <cfRule type="containsText" dxfId="49" priority="20" operator="containsText" text="75">
      <formula>NOT(ISERROR(SEARCH("75",U202)))</formula>
    </cfRule>
    <cfRule type="containsText" dxfId="48" priority="19" operator="containsText" text="100">
      <formula>NOT(ISERROR(SEARCH("100",U202)))</formula>
    </cfRule>
    <cfRule type="containsText" dxfId="47" priority="18" operator="containsText" text="50">
      <formula>NOT(ISERROR(SEARCH("50",U202)))</formula>
    </cfRule>
  </conditionalFormatting>
  <conditionalFormatting sqref="U208:U211">
    <cfRule type="containsText" dxfId="46" priority="7" operator="containsText" text="100">
      <formula>NOT(ISERROR(SEARCH("100",U208)))</formula>
    </cfRule>
    <cfRule type="containsText" dxfId="45" priority="5" operator="containsText" text="25">
      <formula>NOT(ISERROR(SEARCH("25",U208)))</formula>
    </cfRule>
    <cfRule type="containsText" dxfId="44" priority="6" operator="containsText" text="50">
      <formula>NOT(ISERROR(SEARCH("50",U208)))</formula>
    </cfRule>
    <cfRule type="containsText" dxfId="43" priority="8" operator="containsText" text="75">
      <formula>NOT(ISERROR(SEARCH("75",U208)))</formula>
    </cfRule>
  </conditionalFormatting>
  <conditionalFormatting sqref="U119:V119">
    <cfRule type="containsText" dxfId="42" priority="479" operator="containsText" text="100">
      <formula>NOT(ISERROR(SEARCH("100",U119)))</formula>
    </cfRule>
    <cfRule type="containsText" dxfId="41" priority="477" operator="containsText" text="25">
      <formula>NOT(ISERROR(SEARCH("25",U119)))</formula>
    </cfRule>
    <cfRule type="containsText" dxfId="40" priority="478" operator="containsText" text="50">
      <formula>NOT(ISERROR(SEARCH("50",U119)))</formula>
    </cfRule>
    <cfRule type="containsText" dxfId="39" priority="480" operator="containsText" text="75">
      <formula>NOT(ISERROR(SEARCH("75",U119)))</formula>
    </cfRule>
  </conditionalFormatting>
  <conditionalFormatting sqref="U130:V133">
    <cfRule type="containsText" dxfId="38" priority="129" operator="containsText" text="25">
      <formula>NOT(ISERROR(SEARCH("25",U130)))</formula>
    </cfRule>
    <cfRule type="containsText" dxfId="37" priority="130" operator="containsText" text="50">
      <formula>NOT(ISERROR(SEARCH("50",U130)))</formula>
    </cfRule>
    <cfRule type="containsText" dxfId="36" priority="131" operator="containsText" text="100">
      <formula>NOT(ISERROR(SEARCH("100",U130)))</formula>
    </cfRule>
    <cfRule type="containsText" dxfId="35" priority="132" operator="containsText" text="75">
      <formula>NOT(ISERROR(SEARCH("75",U130)))</formula>
    </cfRule>
  </conditionalFormatting>
  <conditionalFormatting sqref="U148:V151">
    <cfRule type="containsText" dxfId="34" priority="107" operator="containsText" text="100">
      <formula>NOT(ISERROR(SEARCH("100",U148)))</formula>
    </cfRule>
    <cfRule type="containsText" dxfId="33" priority="105" operator="containsText" text="25">
      <formula>NOT(ISERROR(SEARCH("25",U148)))</formula>
    </cfRule>
    <cfRule type="containsText" dxfId="32" priority="106" operator="containsText" text="50">
      <formula>NOT(ISERROR(SEARCH("50",U148)))</formula>
    </cfRule>
    <cfRule type="containsText" dxfId="31" priority="108" operator="containsText" text="75">
      <formula>NOT(ISERROR(SEARCH("75",U148)))</formula>
    </cfRule>
  </conditionalFormatting>
  <conditionalFormatting sqref="V120">
    <cfRule type="containsText" dxfId="30" priority="474" operator="containsText" text="50">
      <formula>NOT(ISERROR(SEARCH("50",V120)))</formula>
    </cfRule>
    <cfRule type="containsText" dxfId="29" priority="473" operator="containsText" text="25">
      <formula>NOT(ISERROR(SEARCH("25",V120)))</formula>
    </cfRule>
    <cfRule type="containsText" dxfId="28" priority="476" operator="containsText" text="75">
      <formula>NOT(ISERROR(SEARCH("75",V120)))</formula>
    </cfRule>
    <cfRule type="containsText" dxfId="27" priority="475" operator="containsText" text="100">
      <formula>NOT(ISERROR(SEARCH("100",V120)))</formula>
    </cfRule>
  </conditionalFormatting>
  <conditionalFormatting sqref="V114:BF115 C116:BF116">
    <cfRule type="containsText" dxfId="26" priority="701" operator="containsText" text="25">
      <formula>NOT(ISERROR(SEARCH("25",C114)))</formula>
    </cfRule>
    <cfRule type="containsText" dxfId="25" priority="702" operator="containsText" text="50">
      <formula>NOT(ISERROR(SEARCH("50",C114)))</formula>
    </cfRule>
    <cfRule type="containsText" dxfId="24" priority="703" operator="containsText" text="100">
      <formula>NOT(ISERROR(SEARCH("100",C114)))</formula>
    </cfRule>
    <cfRule type="containsText" dxfId="23" priority="704" operator="containsText" text="75">
      <formula>NOT(ISERROR(SEARCH("75",C114)))</formula>
    </cfRule>
  </conditionalFormatting>
  <conditionalFormatting sqref="W10:AG12">
    <cfRule type="containsText" dxfId="22" priority="1251" operator="containsText" text="100">
      <formula>NOT(ISERROR(SEARCH("100",W10)))</formula>
    </cfRule>
    <cfRule type="containsText" dxfId="21" priority="1252" operator="containsText" text="75">
      <formula>NOT(ISERROR(SEARCH("75",W10)))</formula>
    </cfRule>
    <cfRule type="containsText" dxfId="20" priority="1249" operator="containsText" text="25">
      <formula>NOT(ISERROR(SEARCH("25",W10)))</formula>
    </cfRule>
    <cfRule type="containsText" dxfId="19" priority="1250" operator="containsText" text="50">
      <formula>NOT(ISERROR(SEARCH("50",W10)))</formula>
    </cfRule>
  </conditionalFormatting>
  <conditionalFormatting sqref="W13:BF13 C14:BF15">
    <cfRule type="containsText" dxfId="18" priority="503" operator="containsText" text="100">
      <formula>NOT(ISERROR(SEARCH("100",C13)))</formula>
    </cfRule>
    <cfRule type="containsText" dxfId="17" priority="502" operator="containsText" text="50">
      <formula>NOT(ISERROR(SEARCH("50",C13)))</formula>
    </cfRule>
    <cfRule type="containsText" dxfId="16" priority="504" operator="containsText" text="75">
      <formula>NOT(ISERROR(SEARCH("75",C13)))</formula>
    </cfRule>
    <cfRule type="containsText" dxfId="15" priority="501" operator="containsText" text="25">
      <formula>NOT(ISERROR(SEARCH("25",C13)))</formula>
    </cfRule>
  </conditionalFormatting>
  <conditionalFormatting sqref="W76:BF79 C77:N77 C124:C127">
    <cfRule type="containsText" dxfId="14" priority="2853" operator="containsText" text="25">
      <formula>NOT(ISERROR(SEARCH("25",C76)))</formula>
    </cfRule>
    <cfRule type="containsText" dxfId="13" priority="2854" operator="containsText" text="50">
      <formula>NOT(ISERROR(SEARCH("50",C76)))</formula>
    </cfRule>
    <cfRule type="containsText" dxfId="12" priority="2855" operator="containsText" text="100">
      <formula>NOT(ISERROR(SEARCH("100",C76)))</formula>
    </cfRule>
    <cfRule type="containsText" dxfId="11" priority="2856" operator="containsText" text="75">
      <formula>NOT(ISERROR(SEARCH("75",C76)))</formula>
    </cfRule>
  </conditionalFormatting>
  <conditionalFormatting sqref="AI4:BF12 BH4:BN15 O16:BE16 BG16:BM16 BH17:BN115 C69:G69 BI116:BN116 BH116:BH208 C118:C121">
    <cfRule type="containsText" dxfId="10" priority="2857" operator="containsText" text="25">
      <formula>NOT(ISERROR(SEARCH("25",C4)))</formula>
    </cfRule>
    <cfRule type="containsText" dxfId="9" priority="2858" operator="containsText" text="50">
      <formula>NOT(ISERROR(SEARCH("50",C4)))</formula>
    </cfRule>
    <cfRule type="containsText" dxfId="8" priority="2859" operator="containsText" text="100">
      <formula>NOT(ISERROR(SEARCH("100",C4)))</formula>
    </cfRule>
    <cfRule type="containsText" dxfId="7" priority="2860" operator="containsText" text="75">
      <formula>NOT(ISERROR(SEARCH("75",C4)))</formula>
    </cfRule>
  </conditionalFormatting>
  <conditionalFormatting sqref="AI3:BJ3 BL3:BR3">
    <cfRule type="containsText" dxfId="6" priority="3509" operator="containsText" text="25">
      <formula>NOT(ISERROR(SEARCH("25",AI3)))</formula>
    </cfRule>
    <cfRule type="containsText" dxfId="5" priority="3510" operator="containsText" text="50">
      <formula>NOT(ISERROR(SEARCH("50",AI3)))</formula>
    </cfRule>
    <cfRule type="containsText" dxfId="4" priority="3511" operator="containsText" text="100">
      <formula>NOT(ISERROR(SEARCH("100",AI3)))</formula>
    </cfRule>
    <cfRule type="containsText" dxfId="3" priority="3512" operator="containsText" text="75">
      <formula>NOT(ISERROR(SEARCH("75",AI3)))</formula>
    </cfRule>
  </conditionalFormatting>
  <conditionalFormatting sqref="BK3 BG4:BG15 BF16 BG17:BG208">
    <cfRule type="cellIs" dxfId="2" priority="3625" operator="between">
      <formula>0</formula>
      <formula>40</formula>
    </cfRule>
    <cfRule type="cellIs" dxfId="1" priority="3626" operator="between">
      <formula>40</formula>
      <formula>70</formula>
    </cfRule>
    <cfRule type="cellIs" dxfId="0" priority="3627" operator="between">
      <formula>70</formula>
      <formula>100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sandesh bs</dc:creator>
  <cp:lastModifiedBy>sandesh bs</cp:lastModifiedBy>
  <dcterms:created xsi:type="dcterms:W3CDTF">2025-08-22T11:40:59Z</dcterms:created>
  <dcterms:modified xsi:type="dcterms:W3CDTF">2026-03-07T04:56:47Z</dcterms:modified>
</cp:coreProperties>
</file>