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ande\Desktop\7TH CLASS DASHBOARD\"/>
    </mc:Choice>
  </mc:AlternateContent>
  <xr:revisionPtr revIDLastSave="0" documentId="13_ncr:1_{DA188E34-E676-4B41-90D1-C2D5B7093861}" xr6:coauthVersionLast="47" xr6:coauthVersionMax="47" xr10:uidLastSave="{00000000-0000-0000-0000-000000000000}"/>
  <bookViews>
    <workbookView xWindow="-98" yWindow="-98" windowWidth="21795" windowHeight="12975" xr2:uid="{4F87DD15-7C28-4111-988E-FDCFB4AA4F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201" i="1" l="1"/>
  <c r="BK202" i="1"/>
  <c r="BK203" i="1"/>
  <c r="BK204" i="1"/>
  <c r="BK205" i="1"/>
  <c r="BL116" i="1" a="1"/>
  <c r="BL116" i="1" s="1"/>
  <c r="BL117" i="1" a="1"/>
  <c r="BL117" i="1" s="1"/>
  <c r="BL118" i="1" a="1"/>
  <c r="BL118" i="1" s="1"/>
  <c r="BL119" i="1" a="1"/>
  <c r="BL119" i="1" s="1"/>
  <c r="BL120" i="1" a="1"/>
  <c r="BL120" i="1" s="1"/>
  <c r="BL121" i="1" a="1"/>
  <c r="BL121" i="1" s="1"/>
  <c r="BL122" i="1" a="1"/>
  <c r="BL122" i="1"/>
  <c r="BL123" i="1" a="1"/>
  <c r="BL123" i="1" s="1"/>
  <c r="BL124" i="1" a="1"/>
  <c r="BL124" i="1" s="1"/>
  <c r="BL125" i="1" a="1"/>
  <c r="BL125" i="1" s="1"/>
  <c r="BL126" i="1" a="1"/>
  <c r="BL126" i="1" s="1"/>
  <c r="BL127" i="1" a="1"/>
  <c r="BL127" i="1" s="1"/>
  <c r="BL128" i="1" a="1"/>
  <c r="BL128" i="1" s="1"/>
  <c r="BL129" i="1" a="1"/>
  <c r="BL129" i="1" s="1"/>
  <c r="BL130" i="1" a="1"/>
  <c r="BL130" i="1" s="1"/>
  <c r="BL131" i="1" a="1"/>
  <c r="BL131" i="1" s="1"/>
  <c r="BL132" i="1" a="1"/>
  <c r="BL132" i="1" s="1"/>
  <c r="BL133" i="1" a="1"/>
  <c r="BL133" i="1" s="1"/>
  <c r="BL134" i="1" a="1"/>
  <c r="BL134" i="1" s="1"/>
  <c r="BL135" i="1" a="1"/>
  <c r="BL135" i="1" s="1"/>
  <c r="BL136" i="1" a="1"/>
  <c r="BL136" i="1" s="1"/>
  <c r="BL137" i="1" a="1"/>
  <c r="BL137" i="1" s="1"/>
  <c r="BL138" i="1" a="1"/>
  <c r="BL138" i="1" s="1"/>
  <c r="BL139" i="1" a="1"/>
  <c r="BL139" i="1" s="1"/>
  <c r="BL140" i="1" a="1"/>
  <c r="BL140" i="1" s="1"/>
  <c r="BL141" i="1" a="1"/>
  <c r="BL141" i="1" s="1"/>
  <c r="BL142" i="1" a="1"/>
  <c r="BL142" i="1" s="1"/>
  <c r="BL143" i="1" a="1"/>
  <c r="BL143" i="1" s="1"/>
  <c r="BL144" i="1" a="1"/>
  <c r="BL144" i="1" s="1"/>
  <c r="BL145" i="1" a="1"/>
  <c r="BL145" i="1" s="1"/>
  <c r="BL146" i="1" a="1"/>
  <c r="BL146" i="1" s="1"/>
  <c r="BL147" i="1" a="1"/>
  <c r="BL147" i="1" s="1"/>
  <c r="BL148" i="1" a="1"/>
  <c r="BL148" i="1" s="1"/>
  <c r="BL149" i="1" a="1"/>
  <c r="BL149" i="1" s="1"/>
  <c r="BL150" i="1" a="1"/>
  <c r="BL150" i="1" s="1"/>
  <c r="BL151" i="1" a="1"/>
  <c r="BL151" i="1" s="1"/>
  <c r="BL152" i="1" a="1"/>
  <c r="BL152" i="1" s="1"/>
  <c r="BL153" i="1" a="1"/>
  <c r="BL153" i="1" s="1"/>
  <c r="BL154" i="1" a="1"/>
  <c r="BL154" i="1" s="1"/>
  <c r="BL155" i="1" a="1"/>
  <c r="BL155" i="1" s="1"/>
  <c r="BL156" i="1" a="1"/>
  <c r="BL156" i="1" s="1"/>
  <c r="BL157" i="1" a="1"/>
  <c r="BL157" i="1" s="1"/>
  <c r="BL158" i="1" a="1"/>
  <c r="BL158" i="1" s="1"/>
  <c r="BL159" i="1" a="1"/>
  <c r="BL159" i="1" s="1"/>
  <c r="BL160" i="1" a="1"/>
  <c r="BL160" i="1" s="1"/>
  <c r="BL161" i="1" a="1"/>
  <c r="BL161" i="1" s="1"/>
  <c r="BL162" i="1" a="1"/>
  <c r="BL162" i="1" s="1"/>
  <c r="BL163" i="1" a="1"/>
  <c r="BL163" i="1" s="1"/>
  <c r="BL164" i="1" a="1"/>
  <c r="BL164" i="1" s="1"/>
  <c r="BL165" i="1" a="1"/>
  <c r="BL165" i="1" s="1"/>
  <c r="BL166" i="1" a="1"/>
  <c r="BL166" i="1" s="1"/>
  <c r="BL167" i="1" a="1"/>
  <c r="BL167" i="1" s="1"/>
  <c r="BL168" i="1" a="1"/>
  <c r="BL168" i="1" s="1"/>
  <c r="BL169" i="1" a="1"/>
  <c r="BL169" i="1" s="1"/>
  <c r="BL170" i="1" a="1"/>
  <c r="BL170" i="1" s="1"/>
  <c r="BL171" i="1" a="1"/>
  <c r="BL171" i="1" s="1"/>
  <c r="BL172" i="1" a="1"/>
  <c r="BL172" i="1" s="1"/>
  <c r="BL173" i="1" a="1"/>
  <c r="BL173" i="1" s="1"/>
  <c r="BL174" i="1" a="1"/>
  <c r="BL174" i="1" s="1"/>
  <c r="BL175" i="1" a="1"/>
  <c r="BL175" i="1" s="1"/>
  <c r="BL176" i="1" a="1"/>
  <c r="BL176" i="1" s="1"/>
  <c r="BL177" i="1" a="1"/>
  <c r="BL177" i="1" s="1"/>
  <c r="BL178" i="1" a="1"/>
  <c r="BL178" i="1" s="1"/>
  <c r="BL179" i="1" a="1"/>
  <c r="BL179" i="1" s="1"/>
  <c r="BL180" i="1" a="1"/>
  <c r="BL180" i="1" s="1"/>
  <c r="BL181" i="1" a="1"/>
  <c r="BL181" i="1" s="1"/>
  <c r="BL182" i="1" a="1"/>
  <c r="BL182" i="1" s="1"/>
  <c r="BL183" i="1" a="1"/>
  <c r="BL183" i="1" s="1"/>
  <c r="BL184" i="1" a="1"/>
  <c r="BL184" i="1" s="1"/>
  <c r="BL185" i="1" a="1"/>
  <c r="BL185" i="1" s="1"/>
  <c r="BL186" i="1" a="1"/>
  <c r="BL186" i="1" s="1"/>
  <c r="BL187" i="1" a="1"/>
  <c r="BL187" i="1" s="1"/>
  <c r="BL188" i="1" a="1"/>
  <c r="BL188" i="1" s="1"/>
  <c r="BL189" i="1" a="1"/>
  <c r="BL189" i="1" s="1"/>
  <c r="BL190" i="1" a="1"/>
  <c r="BL190" i="1" s="1"/>
  <c r="BL191" i="1" a="1"/>
  <c r="BL191" i="1" s="1"/>
  <c r="BL192" i="1" a="1"/>
  <c r="BL192" i="1" s="1"/>
  <c r="BL193" i="1" a="1"/>
  <c r="BL193" i="1" s="1"/>
  <c r="BL194" i="1" a="1"/>
  <c r="BL194" i="1" s="1"/>
  <c r="BL195" i="1" a="1"/>
  <c r="BL195" i="1" s="1"/>
  <c r="BL196" i="1" a="1"/>
  <c r="BL196" i="1" s="1"/>
  <c r="BL197" i="1" a="1"/>
  <c r="BL197" i="1" s="1"/>
  <c r="BL198" i="1" a="1"/>
  <c r="BL198" i="1" s="1"/>
  <c r="BL199" i="1" a="1"/>
  <c r="BL199" i="1" s="1"/>
  <c r="BL200" i="1" a="1"/>
  <c r="BL200" i="1" s="1"/>
  <c r="BL201" i="1" a="1"/>
  <c r="BL201" i="1" s="1"/>
  <c r="BL202" i="1" a="1"/>
  <c r="BL202" i="1"/>
  <c r="BL203" i="1" a="1"/>
  <c r="BL203" i="1" s="1"/>
  <c r="BL204" i="1" a="1"/>
  <c r="BL204" i="1" s="1"/>
  <c r="BL205" i="1" a="1"/>
  <c r="BL205" i="1" s="1"/>
  <c r="BL206" i="1" a="1"/>
  <c r="BL206" i="1" s="1"/>
  <c r="BL207" i="1" a="1"/>
  <c r="BL207" i="1" s="1"/>
  <c r="BL208" i="1" a="1"/>
  <c r="BL208" i="1" s="1"/>
  <c r="BL209" i="1" a="1"/>
  <c r="BL209" i="1" s="1"/>
  <c r="BL210" i="1" a="1"/>
  <c r="BL210" i="1"/>
  <c r="BL211" i="1" a="1"/>
  <c r="BL211" i="1" s="1"/>
  <c r="BL212" i="1" a="1"/>
  <c r="BL212" i="1" s="1"/>
  <c r="BL213" i="1" a="1"/>
  <c r="BL213" i="1" s="1"/>
  <c r="BL214" i="1" a="1"/>
  <c r="BL214" i="1" s="1"/>
  <c r="BL215" i="1" a="1"/>
  <c r="BL215" i="1" s="1"/>
  <c r="BK195" i="1"/>
  <c r="BK196" i="1"/>
  <c r="BK197" i="1"/>
  <c r="BK198" i="1"/>
  <c r="BK199" i="1"/>
  <c r="BK200" i="1"/>
  <c r="BK206" i="1"/>
  <c r="BK207" i="1"/>
  <c r="BK208" i="1"/>
  <c r="BK209" i="1"/>
  <c r="BK210" i="1"/>
  <c r="BK211" i="1"/>
  <c r="BK212" i="1"/>
  <c r="BK213" i="1"/>
  <c r="BK214" i="1"/>
  <c r="BK215" i="1"/>
  <c r="BK216" i="1"/>
  <c r="BK217" i="1"/>
  <c r="BK218" i="1"/>
  <c r="BK219" i="1"/>
  <c r="BK166" i="1"/>
  <c r="BK167" i="1"/>
  <c r="BK168" i="1"/>
  <c r="BK169" i="1"/>
  <c r="BK170" i="1"/>
  <c r="BK171" i="1"/>
  <c r="BK172" i="1"/>
  <c r="BK173" i="1"/>
  <c r="BK174" i="1"/>
  <c r="BK175" i="1"/>
  <c r="BK176" i="1"/>
  <c r="BK177" i="1"/>
  <c r="BK178" i="1"/>
  <c r="BK179" i="1"/>
  <c r="BK180" i="1"/>
  <c r="BK181" i="1"/>
  <c r="BK182" i="1"/>
  <c r="BK183" i="1"/>
  <c r="BK184" i="1"/>
  <c r="BK185" i="1"/>
  <c r="BK186" i="1"/>
  <c r="BK187" i="1"/>
  <c r="BK188" i="1"/>
  <c r="BK189" i="1"/>
  <c r="BK190" i="1"/>
  <c r="BK191" i="1"/>
  <c r="BK192" i="1"/>
  <c r="BK193" i="1"/>
  <c r="BK194" i="1"/>
  <c r="BK150" i="1"/>
  <c r="BK151" i="1"/>
  <c r="BK152" i="1"/>
  <c r="BK153" i="1"/>
  <c r="BK154" i="1"/>
  <c r="BK155" i="1"/>
  <c r="BK156" i="1"/>
  <c r="BK157" i="1"/>
  <c r="BK158" i="1"/>
  <c r="BK159" i="1"/>
  <c r="BK160" i="1"/>
  <c r="BK161" i="1"/>
  <c r="BK162" i="1"/>
  <c r="BK163" i="1"/>
  <c r="BK164" i="1"/>
  <c r="BK165"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 r="BK143" i="1"/>
  <c r="BK144" i="1"/>
  <c r="BK145" i="1"/>
  <c r="BK146" i="1"/>
  <c r="BK147" i="1"/>
  <c r="BK148" i="1"/>
  <c r="BK149" i="1"/>
  <c r="BL115" i="1" a="1"/>
  <c r="BL115" i="1" s="1"/>
  <c r="BL114" i="1" a="1"/>
  <c r="BL114" i="1" s="1"/>
  <c r="BK114" i="1"/>
  <c r="BL113" i="1" a="1"/>
  <c r="BL113" i="1" s="1"/>
  <c r="BK113" i="1"/>
  <c r="BL112" i="1" a="1"/>
  <c r="BL112" i="1" s="1"/>
  <c r="BK112" i="1"/>
  <c r="BL111" i="1" a="1"/>
  <c r="BL111" i="1" s="1"/>
  <c r="BK111" i="1"/>
  <c r="BL110" i="1" a="1"/>
  <c r="BL110" i="1" s="1"/>
  <c r="BK110" i="1"/>
  <c r="BL109" i="1" a="1"/>
  <c r="BL109" i="1" s="1"/>
  <c r="BK109" i="1"/>
  <c r="BL108" i="1" a="1"/>
  <c r="BL108" i="1" s="1"/>
  <c r="BK108" i="1"/>
  <c r="BL107" i="1" a="1"/>
  <c r="BL107" i="1" s="1"/>
  <c r="BK107" i="1"/>
  <c r="BL106" i="1" a="1"/>
  <c r="BL106" i="1" s="1"/>
  <c r="BK106" i="1"/>
  <c r="BL105" i="1" a="1"/>
  <c r="BL105" i="1" s="1"/>
  <c r="BK105" i="1"/>
  <c r="BL104" i="1" a="1"/>
  <c r="BL104" i="1" s="1"/>
  <c r="BK104" i="1"/>
  <c r="BL103" i="1" a="1"/>
  <c r="BL103" i="1" s="1"/>
  <c r="BK103" i="1"/>
  <c r="BL102" i="1" a="1"/>
  <c r="BL102" i="1" s="1"/>
  <c r="BK102" i="1"/>
  <c r="BL101" i="1" a="1"/>
  <c r="BL101" i="1" s="1"/>
  <c r="BK101" i="1"/>
  <c r="BL100" i="1" a="1"/>
  <c r="BL100" i="1" s="1"/>
  <c r="BK100" i="1"/>
  <c r="BL99" i="1" a="1"/>
  <c r="BL99" i="1" s="1"/>
  <c r="BK99" i="1"/>
  <c r="BL98" i="1" a="1"/>
  <c r="BL98" i="1" s="1"/>
  <c r="BK98" i="1"/>
  <c r="BL97" i="1" a="1"/>
  <c r="BL97" i="1" s="1"/>
  <c r="BK97" i="1"/>
  <c r="BL96" i="1" a="1"/>
  <c r="BL96" i="1" s="1"/>
  <c r="BK96" i="1"/>
  <c r="BL95" i="1" a="1"/>
  <c r="BL95" i="1" s="1"/>
  <c r="BK95" i="1"/>
  <c r="BL94" i="1" a="1"/>
  <c r="BL94" i="1" s="1"/>
  <c r="BK94" i="1"/>
  <c r="BL93" i="1" a="1"/>
  <c r="BL93" i="1" s="1"/>
  <c r="BK93" i="1"/>
  <c r="BL92" i="1" a="1"/>
  <c r="BL92" i="1" s="1"/>
  <c r="BK92" i="1"/>
  <c r="BL91" i="1" a="1"/>
  <c r="BL91" i="1" s="1"/>
  <c r="BK91" i="1"/>
  <c r="BL90" i="1" a="1"/>
  <c r="BL90" i="1" s="1"/>
  <c r="BK90" i="1"/>
  <c r="BL89" i="1" a="1"/>
  <c r="BL89" i="1" s="1"/>
  <c r="BK89" i="1"/>
  <c r="BL88" i="1" a="1"/>
  <c r="BL88" i="1" s="1"/>
  <c r="BK88" i="1"/>
  <c r="BL87" i="1" a="1"/>
  <c r="BL87" i="1" s="1"/>
  <c r="BK87" i="1"/>
  <c r="BL86" i="1" a="1"/>
  <c r="BL86" i="1" s="1"/>
  <c r="BK86" i="1"/>
  <c r="BL85" i="1" a="1"/>
  <c r="BL85" i="1" s="1"/>
  <c r="BK85" i="1"/>
  <c r="BL84" i="1" a="1"/>
  <c r="BL84" i="1" s="1"/>
  <c r="BK84" i="1"/>
  <c r="BL83" i="1" a="1"/>
  <c r="BL83" i="1" s="1"/>
  <c r="BK83" i="1"/>
  <c r="BL82" i="1" a="1"/>
  <c r="BL82" i="1" s="1"/>
  <c r="BK82" i="1"/>
  <c r="BL81" i="1" a="1"/>
  <c r="BL81" i="1" s="1"/>
  <c r="BK81" i="1"/>
  <c r="BL80" i="1" a="1"/>
  <c r="BL80" i="1" s="1"/>
  <c r="BK80" i="1"/>
  <c r="BL79" i="1" a="1"/>
  <c r="BL79" i="1" s="1"/>
  <c r="BK79" i="1"/>
  <c r="BL78" i="1" a="1"/>
  <c r="BL78" i="1" s="1"/>
  <c r="BK78" i="1"/>
  <c r="BL77" i="1" a="1"/>
  <c r="BL77" i="1" s="1"/>
  <c r="BK77" i="1"/>
  <c r="BL76" i="1" a="1"/>
  <c r="BL76" i="1" s="1"/>
  <c r="BK76" i="1"/>
  <c r="BL75" i="1" a="1"/>
  <c r="BL75" i="1" s="1"/>
  <c r="BK75" i="1"/>
  <c r="BL74" i="1" a="1"/>
  <c r="BL74" i="1" s="1"/>
  <c r="BK74" i="1"/>
  <c r="BL73" i="1" a="1"/>
  <c r="BL73" i="1" s="1"/>
  <c r="BK73" i="1"/>
  <c r="BL72" i="1" a="1"/>
  <c r="BL72" i="1" s="1"/>
  <c r="BK72" i="1"/>
  <c r="BL71" i="1" a="1"/>
  <c r="BL71" i="1" s="1"/>
  <c r="BK71" i="1"/>
  <c r="BL70" i="1" a="1"/>
  <c r="BL70" i="1" s="1"/>
  <c r="BK70" i="1"/>
  <c r="BL69" i="1" a="1"/>
  <c r="BL69" i="1" s="1"/>
  <c r="BK69" i="1"/>
  <c r="BL68" i="1" a="1"/>
  <c r="BL68" i="1" s="1"/>
  <c r="BK68" i="1"/>
  <c r="BL67" i="1" a="1"/>
  <c r="BL67" i="1" s="1"/>
  <c r="BK67" i="1"/>
  <c r="BL66" i="1" a="1"/>
  <c r="BL66" i="1" s="1"/>
  <c r="BK66" i="1"/>
  <c r="BL65" i="1" a="1"/>
  <c r="BL65" i="1" s="1"/>
  <c r="BK65" i="1"/>
  <c r="BL64" i="1" a="1"/>
  <c r="BL64" i="1" s="1"/>
  <c r="BK64" i="1"/>
  <c r="BL63" i="1" a="1"/>
  <c r="BL63" i="1" s="1"/>
  <c r="BK63" i="1"/>
  <c r="BL62" i="1" a="1"/>
  <c r="BL62" i="1" s="1"/>
  <c r="BK62" i="1"/>
  <c r="BL61" i="1" a="1"/>
  <c r="BL61" i="1" s="1"/>
  <c r="BK61" i="1"/>
  <c r="BL60" i="1" a="1"/>
  <c r="BL60" i="1" s="1"/>
  <c r="BK60" i="1"/>
  <c r="BL59" i="1" a="1"/>
  <c r="BL59" i="1" s="1"/>
  <c r="BK59" i="1"/>
  <c r="BL58" i="1" a="1"/>
  <c r="BL58" i="1" s="1"/>
  <c r="BK58" i="1"/>
  <c r="BL57" i="1" a="1"/>
  <c r="BL57" i="1" s="1"/>
  <c r="BK57" i="1"/>
  <c r="BL56" i="1" a="1"/>
  <c r="BL56" i="1" s="1"/>
  <c r="BK56" i="1"/>
  <c r="BL55" i="1" a="1"/>
  <c r="BL55" i="1" s="1"/>
  <c r="BK55" i="1"/>
  <c r="BL54" i="1" a="1"/>
  <c r="BL54" i="1" s="1"/>
  <c r="BK54" i="1"/>
  <c r="BL53" i="1" a="1"/>
  <c r="BL53" i="1" s="1"/>
  <c r="BK53" i="1"/>
  <c r="BL52" i="1" a="1"/>
  <c r="BL52" i="1" s="1"/>
  <c r="BK52" i="1"/>
  <c r="BL51" i="1" a="1"/>
  <c r="BL51" i="1" s="1"/>
  <c r="BK51" i="1"/>
  <c r="BL50" i="1" a="1"/>
  <c r="BL50" i="1" s="1"/>
  <c r="BK50" i="1"/>
  <c r="BL49" i="1" a="1"/>
  <c r="BL49" i="1" s="1"/>
  <c r="BK49" i="1"/>
  <c r="BL48" i="1" a="1"/>
  <c r="BL48" i="1" s="1"/>
  <c r="BK48" i="1"/>
  <c r="BL47" i="1" a="1"/>
  <c r="BL47" i="1" s="1"/>
  <c r="BK47" i="1"/>
  <c r="BL46" i="1" a="1"/>
  <c r="BL46" i="1" s="1"/>
  <c r="BK46" i="1"/>
  <c r="BL45" i="1" a="1"/>
  <c r="BL45" i="1" s="1"/>
  <c r="BK45" i="1"/>
  <c r="BL44" i="1" a="1"/>
  <c r="BL44" i="1" s="1"/>
  <c r="BK44" i="1"/>
  <c r="BL43" i="1" a="1"/>
  <c r="BL43" i="1" s="1"/>
  <c r="BK43" i="1"/>
  <c r="BL42" i="1" a="1"/>
  <c r="BL42" i="1" s="1"/>
  <c r="BK42" i="1"/>
  <c r="BL41" i="1" a="1"/>
  <c r="BL41" i="1" s="1"/>
  <c r="BK41" i="1"/>
  <c r="BL40" i="1" a="1"/>
  <c r="BL40" i="1" s="1"/>
  <c r="BK40" i="1"/>
  <c r="BL39" i="1" a="1"/>
  <c r="BL39" i="1" s="1"/>
  <c r="BK39" i="1"/>
  <c r="BL38" i="1" a="1"/>
  <c r="BL38" i="1" s="1"/>
  <c r="BK38" i="1"/>
  <c r="BL37" i="1" a="1"/>
  <c r="BL37" i="1" s="1"/>
  <c r="BK37" i="1"/>
  <c r="BL36" i="1" a="1"/>
  <c r="BL36" i="1" s="1"/>
  <c r="BK36" i="1"/>
  <c r="BL35" i="1" a="1"/>
  <c r="BL35" i="1" s="1"/>
  <c r="BK35" i="1"/>
  <c r="BL34" i="1" a="1"/>
  <c r="BL34" i="1" s="1"/>
  <c r="BK34" i="1"/>
  <c r="BL33" i="1" a="1"/>
  <c r="BL33" i="1" s="1"/>
  <c r="BK33" i="1"/>
  <c r="BL32" i="1" a="1"/>
  <c r="BL32" i="1" s="1"/>
  <c r="BK32" i="1"/>
  <c r="BL31" i="1" a="1"/>
  <c r="BL31" i="1" s="1"/>
  <c r="BK31" i="1"/>
  <c r="BL30" i="1" a="1"/>
  <c r="BL30" i="1" s="1"/>
  <c r="BK30" i="1"/>
  <c r="BL29" i="1" a="1"/>
  <c r="BL29" i="1" s="1"/>
  <c r="BK29" i="1"/>
  <c r="BL28" i="1" a="1"/>
  <c r="BL28" i="1" s="1"/>
  <c r="BK28" i="1"/>
  <c r="BL27" i="1" a="1"/>
  <c r="BL27" i="1" s="1"/>
  <c r="BK27" i="1"/>
  <c r="BL26" i="1" a="1"/>
  <c r="BL26" i="1" s="1"/>
  <c r="BK26" i="1"/>
  <c r="BL25" i="1" a="1"/>
  <c r="BL25" i="1" s="1"/>
  <c r="BK25" i="1"/>
  <c r="BL24" i="1" a="1"/>
  <c r="BL24" i="1" s="1"/>
  <c r="BK24" i="1"/>
  <c r="BL23" i="1" a="1"/>
  <c r="BL23" i="1" s="1"/>
  <c r="BK23" i="1"/>
  <c r="BL22" i="1" a="1"/>
  <c r="BL22" i="1" s="1"/>
  <c r="BK22" i="1"/>
  <c r="BL21" i="1" a="1"/>
  <c r="BL21" i="1" s="1"/>
  <c r="BK21" i="1"/>
  <c r="BL20" i="1" a="1"/>
  <c r="BL20" i="1" s="1"/>
  <c r="BK20" i="1"/>
  <c r="BL19" i="1" a="1"/>
  <c r="BL19" i="1" s="1"/>
  <c r="BK19" i="1"/>
  <c r="BL18" i="1" a="1"/>
  <c r="BL18" i="1" s="1"/>
  <c r="BK18" i="1"/>
  <c r="BL17" i="1" a="1"/>
  <c r="BL17" i="1" s="1"/>
  <c r="BK17" i="1"/>
  <c r="BL16" i="1" a="1"/>
  <c r="BL16" i="1" s="1"/>
  <c r="BK16" i="1"/>
  <c r="BL15" i="1" a="1"/>
  <c r="BL15" i="1" s="1"/>
  <c r="BK15" i="1"/>
  <c r="BL14" i="1" a="1"/>
  <c r="BL14" i="1" s="1"/>
  <c r="BK14" i="1"/>
  <c r="BL13" i="1" a="1"/>
  <c r="BL13" i="1" s="1"/>
  <c r="BK13" i="1"/>
  <c r="BL12" i="1" a="1"/>
  <c r="BL12" i="1" s="1"/>
  <c r="BK12" i="1"/>
  <c r="BL11" i="1" a="1"/>
  <c r="BL11" i="1" s="1"/>
  <c r="BK11" i="1"/>
  <c r="BL10" i="1" a="1"/>
  <c r="BL10" i="1" s="1"/>
  <c r="BK10" i="1"/>
  <c r="BL9" i="1" a="1"/>
  <c r="BL9" i="1" s="1"/>
  <c r="BK9" i="1"/>
  <c r="BL8" i="1" a="1"/>
  <c r="BL8" i="1" s="1"/>
  <c r="BK8" i="1"/>
  <c r="BL7" i="1" a="1"/>
  <c r="BL7" i="1" s="1"/>
  <c r="BK7" i="1"/>
  <c r="BL6" i="1" a="1"/>
  <c r="BL6" i="1" s="1"/>
  <c r="BK6" i="1"/>
  <c r="BL5" i="1" a="1"/>
  <c r="BL5" i="1" s="1"/>
  <c r="BK5" i="1"/>
  <c r="BL4" i="1" a="1"/>
  <c r="BL4" i="1" s="1"/>
  <c r="BK4" i="1"/>
  <c r="BL3" i="1" a="1"/>
  <c r="BL3" i="1" s="1"/>
  <c r="BK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<sst xmlns="http://schemas.openxmlformats.org/spreadsheetml/2006/main" count="1368" uniqueCount="353">
  <si>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</si>
  <si>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</si>
  <si>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</si>
  <si>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</si>
  <si>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</si>
  <si>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</si>
  <si>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</si>
  <si>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</si>
  <si>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</si>
  <si>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</si>
  <si>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</si>
  <si>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</si>
  <si>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</si>
  <si>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</si>
  <si>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</si>
  <si>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</si>
  <si>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</si>
  <si>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</si>
  <si>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</si>
  <si>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</si>
  <si>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</si>
  <si>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</si>
  <si>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</si>
  <si>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</si>
  <si>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</si>
  <si>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</si>
  <si>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</si>
  <si>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</si>
  <si>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</si>
  <si>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</si>
  <si>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Average</t>
  </si>
  <si>
    <t>ByTE Review - 1</t>
  </si>
  <si>
    <t>ByTE Review - 2</t>
  </si>
  <si>
    <t>ByTE Review - 3</t>
  </si>
  <si>
    <t>Student Name / Roll Number</t>
  </si>
  <si>
    <t>Co-Curriculars</t>
  </si>
  <si>
    <t>Score</t>
  </si>
  <si>
    <t>Feedback</t>
  </si>
  <si>
    <t>Score Average</t>
  </si>
  <si>
    <t>Consolidated feedback</t>
  </si>
  <si>
    <t>Academics</t>
  </si>
  <si>
    <t>Games</t>
  </si>
  <si>
    <t>Computers</t>
  </si>
  <si>
    <t>Drawing</t>
  </si>
  <si>
    <t>Library</t>
  </si>
  <si>
    <t>Others</t>
  </si>
  <si>
    <t>SYED AHMED SHAKHADRI</t>
  </si>
  <si>
    <t>KADAVA FAIZAN AHMED</t>
  </si>
  <si>
    <t>SHAIK FARHAAN FATIR</t>
  </si>
  <si>
    <t>MD HAMDAN IBRAHIM</t>
  </si>
  <si>
    <t>KHALEEL ABDULLAH KHAN</t>
  </si>
  <si>
    <t>MOHAMMED SAIFAN</t>
  </si>
  <si>
    <t>MOHAMMED TOUFEEQ</t>
  </si>
  <si>
    <t>SHAIK MOHAMMED NIHAL</t>
  </si>
  <si>
    <t>SHAIK MOHAMMED RIZWAN</t>
  </si>
  <si>
    <t>SHAIK MOHAMMED SAMI</t>
  </si>
  <si>
    <t>S MD SUHAN</t>
  </si>
  <si>
    <t>SHAIK MD SYEED</t>
  </si>
  <si>
    <t>SAIMOZAI SAFWAN KHAN</t>
  </si>
  <si>
    <t>K SALMAAN HUSSAIN</t>
  </si>
  <si>
    <t>KOTLA SHAIK AMAN UR RAHMAN</t>
  </si>
  <si>
    <t>SHAIK FARHAN</t>
  </si>
  <si>
    <t>SHAIK SAHIL</t>
  </si>
  <si>
    <t>SHAIK MOHAMMED ZAID</t>
  </si>
  <si>
    <t>AWAIZ IBRAHIM ALI KHAN</t>
  </si>
  <si>
    <t>SHAIK ABDUL MOHSIN AHMED</t>
  </si>
  <si>
    <t>AFSHAN ANJUM SHAIK</t>
  </si>
  <si>
    <t>DOULATHZAI MARIAM KHATOON</t>
  </si>
  <si>
    <t>NABEELA SADASF</t>
  </si>
  <si>
    <t>SHAIK SARA MAHEEN</t>
  </si>
  <si>
    <t>P SABIHA NOUREEN</t>
  </si>
  <si>
    <t>SHAIK SAIFA SAHARISH</t>
  </si>
  <si>
    <t>SHAIK SANIA KOUSAR</t>
  </si>
  <si>
    <t>S K MISBA ZABEEN</t>
  </si>
  <si>
    <t>SHAIK ZARA MAHEEN</t>
  </si>
  <si>
    <t>SHAIK AFRIYA</t>
  </si>
  <si>
    <t>7 A1</t>
  </si>
  <si>
    <t>SHAIK MOHAMMED ATIF</t>
  </si>
  <si>
    <t>SOUDAQAR ZEESHAN ALI</t>
  </si>
  <si>
    <t>AB</t>
  </si>
  <si>
    <t>NO CLASS DUE TO HOLIDAY</t>
  </si>
  <si>
    <t>NEEAT FINISHING CAN IMPROVE</t>
  </si>
  <si>
    <t>NEUTRAL PARTICIPATION</t>
  </si>
  <si>
    <t>TC</t>
  </si>
  <si>
    <t>GOOD IN USING LINES TO CREATE SHAPE</t>
  </si>
  <si>
    <t>SIMPLIFYING THE CONTOUR NEATLY</t>
  </si>
  <si>
    <t>DOING GOOD NEED MORE PRACTICE</t>
  </si>
  <si>
    <t>DOING GOOD NEED TO PRACTICE</t>
  </si>
  <si>
    <t>PERFORMING WELL NEED MOTIVATION,CAN IMPROVE</t>
  </si>
  <si>
    <t>AVERAGE PARTICIPATION</t>
  </si>
  <si>
    <t>SIMPLIFYING THE CONTOUR WELL</t>
  </si>
  <si>
    <t>UTILIZING THE LINES NEATLY TO CREATE THE IMAGE</t>
  </si>
  <si>
    <t>TRYING TO SIMPLIFY THE FIGURE,CAN IMPROVE</t>
  </si>
  <si>
    <t>NEED TO REFINE THE FIGURE</t>
  </si>
  <si>
    <t>NEED TO FOCUS ON VISUALS LIKE SHAPE</t>
  </si>
  <si>
    <t>NEED TO PRACTICE CAN IMPROVE</t>
  </si>
  <si>
    <t>NEUTRAL PARTICIPATION IN CLASS</t>
  </si>
  <si>
    <t>GOOD TRYING HARD TO DO HIS BEST</t>
  </si>
  <si>
    <t>NEED TO PRACTICE MORE</t>
  </si>
  <si>
    <t>AVERAGE PARTICIPATION IN CLASS</t>
  </si>
  <si>
    <t>GOOD IN PENCIL DRAWING</t>
  </si>
  <si>
    <t xml:space="preserve">AVERAGE BUT TRYING HARD TO DRAW </t>
  </si>
  <si>
    <t>TAKING HER FRIENDS HELP TO DRAW</t>
  </si>
  <si>
    <t>TRYING TO DRAW ON HER OWN</t>
  </si>
  <si>
    <t xml:space="preserve">GOOD BUT DOING WORK SLOW </t>
  </si>
  <si>
    <t>GOOD IN DRAWING HER OWN WITHOUT TAKING HELP</t>
  </si>
  <si>
    <t xml:space="preserve">GOOD IN DRAWING </t>
  </si>
  <si>
    <t>PLAYING WITHOUT ANY AIM</t>
  </si>
  <si>
    <t>GOOD IN READING SHOWING INTEREST IN READING</t>
  </si>
  <si>
    <t>FINISHING IS GOOD</t>
  </si>
  <si>
    <t>SOWING GOOD INTEREST</t>
  </si>
  <si>
    <t>GOOD AND UNDERSTANDING THE CONCEPT</t>
  </si>
  <si>
    <t>GOOD IN READING</t>
  </si>
  <si>
    <t>SHOWING SOME INTEREST</t>
  </si>
  <si>
    <t>TRYING TO UNDERSTAND THE STORY</t>
  </si>
  <si>
    <t xml:space="preserve">NO INTEREST IN READING </t>
  </si>
  <si>
    <t xml:space="preserve">UNDERSTANDING THE STORY </t>
  </si>
  <si>
    <t>NEED MORE CONCENTRATION</t>
  </si>
  <si>
    <t>TRYING TO TELL TEACHER THE STORY</t>
  </si>
  <si>
    <t>SHOWING SOME INETREST TOWARDS UNDERSTANDING STORY</t>
  </si>
  <si>
    <t>GOOD TRYING TO SAY THE STORY BY HER OWN</t>
  </si>
  <si>
    <t>NO CONCENTRATION IN CLASS DISTURBING OTHERS</t>
  </si>
  <si>
    <t>DISTURBING OTHERS</t>
  </si>
  <si>
    <t>NO CONCENTRATION IN CLASS</t>
  </si>
  <si>
    <t>NO CONCENTRATION</t>
  </si>
  <si>
    <t>NEUTRAL PERFORMANCE</t>
  </si>
  <si>
    <t>JUST PARTICIPATING</t>
  </si>
  <si>
    <t>DOING GOOD CAN BE IMPROVE MORE</t>
  </si>
  <si>
    <t xml:space="preserve">DOING GOOD CAN BE IMPROVE MORE </t>
  </si>
  <si>
    <t xml:space="preserve">DOING GOOD AND CREATIVELY AND DRAWING THE FIGURE EXACTLY,  INTREST LY  DRAWING </t>
  </si>
  <si>
    <t>DOING GOOD AND GIVING EXACT THE FIGURE AS SHOWN IN BOOK  HANDS  BLENDING SKILFULLY,  AND DRAWING WITH GOOD EDGES</t>
  </si>
  <si>
    <t>ABSENT</t>
  </si>
  <si>
    <t>AVERAGE</t>
  </si>
  <si>
    <t xml:space="preserve"> AVERAGE PERFORMANCE</t>
  </si>
  <si>
    <t>AVERAGE PERFORMANCE</t>
  </si>
  <si>
    <t>ABSNET</t>
  </si>
  <si>
    <t>PLAYING WELL IN SHUTTLE</t>
  </si>
  <si>
    <t>SHOWING INTEREST NEED PRACTICE</t>
  </si>
  <si>
    <t>FEELING DIFFICULT TO READ HARD WORDS</t>
  </si>
  <si>
    <t>NOT PAYING ATTENTION IN THE CLASS</t>
  </si>
  <si>
    <t>NEED TO IMPROVE READING ABILITY</t>
  </si>
  <si>
    <t>SHOWING INTEREST IN READING</t>
  </si>
  <si>
    <t>NEEDTO IMPROVE VOCABULARY</t>
  </si>
  <si>
    <t>NEED TO PAY ATTENTION IN THE CLASS</t>
  </si>
  <si>
    <t>JUST LOOKING AT THE PICTURES</t>
  </si>
  <si>
    <t>INTERESTED IN READING</t>
  </si>
  <si>
    <t>READING WELL</t>
  </si>
  <si>
    <t>CAN IMPROVE NEED TO CONCENTRATE</t>
  </si>
  <si>
    <t>DOING GOOD NEED TO IMPROVE</t>
  </si>
  <si>
    <t>NEED TO FOCUS ON VOCABULARY</t>
  </si>
  <si>
    <t>INTERESTED IN MORAL STORIES</t>
  </si>
  <si>
    <t>GOOD IN READ</t>
  </si>
  <si>
    <t>INTERSTED IN FOOD BALL</t>
  </si>
  <si>
    <t>INTERESTED IN TYPING</t>
  </si>
  <si>
    <t>INTERESTED IN STORY BOOKS</t>
  </si>
  <si>
    <t>INTERESTED IN ENGLISH ESPECIALLY IN POEMS</t>
  </si>
  <si>
    <t>INTERESTED IN COLOURING</t>
  </si>
  <si>
    <t>INTERESTED IN TYPING, &amp; DRAWING IN COMPUTER</t>
  </si>
  <si>
    <t>INTERESTED IN ANIME BOOKS</t>
  </si>
  <si>
    <t>INTERESTED IN TENNIES</t>
  </si>
  <si>
    <t xml:space="preserve">INTERESTED IN ENGLISH </t>
  </si>
  <si>
    <t>INTERESTED IN KHO-KHO</t>
  </si>
  <si>
    <t>INTERESTED IN GOD BOOKS</t>
  </si>
  <si>
    <t>INTERESTED IN PAINTINGS, DRAWING CHARTOON PICTURE</t>
  </si>
  <si>
    <t>INTERESTED IN SCIENCE ESPECIALLY ACID &amp; BASES</t>
  </si>
  <si>
    <t>INTERESTED IN PAINTING IN COMPUTER</t>
  </si>
  <si>
    <t>INTERESTED IN FLOWER DRAWING</t>
  </si>
  <si>
    <t>INTERESTED IN SCIENCE ESPECIALLY IN HEART ORGANSIM</t>
  </si>
  <si>
    <t>INTERSTED IN KHO-KHO</t>
  </si>
  <si>
    <t>INTERESTED IN STORY, HORROR,GOD BOOKS</t>
  </si>
  <si>
    <t>INTERESTED IN  ENGLISH POEMS</t>
  </si>
  <si>
    <t xml:space="preserve">INTERESTED IN TYPING </t>
  </si>
  <si>
    <t>INTERETSED FLOWER DRAWING</t>
  </si>
  <si>
    <t>INTERETSED IN HORROR BOOKS</t>
  </si>
  <si>
    <t>INTERESTED IN PAINTING</t>
  </si>
  <si>
    <t>INTERESTED IN DISNEY, STORIES BOOKS</t>
  </si>
  <si>
    <t>INTERESTED IN ENGLISH POEMS</t>
  </si>
  <si>
    <t>INTERESTED IN TYPING,PLAYING AGMES LIKE SUBWAY SURFRS</t>
  </si>
  <si>
    <t>INTERSTED IN CRICKET</t>
  </si>
  <si>
    <t>INTERESTED IN CRICKET</t>
  </si>
  <si>
    <t>INTERESTED IN SCIENCE</t>
  </si>
  <si>
    <t xml:space="preserve">INTERESTED CRICKET </t>
  </si>
  <si>
    <t>INTERESTED HOME DRAWING AND FOREST PICTURES</t>
  </si>
  <si>
    <t>INTERESTED IN HORROR BOOKS</t>
  </si>
  <si>
    <t>INTERSTED IN ANIME DRAWINGS</t>
  </si>
  <si>
    <t>INTERSTED IN STORY BOOKS</t>
  </si>
  <si>
    <t>INTERSTED IN SOCIAL ESPECIALLY IN HISTORY</t>
  </si>
  <si>
    <t>INTERSTED IN CRICKET &amp; FREE FIRE</t>
  </si>
  <si>
    <t>INTERESTED IN DRAWING IN COMPUTER</t>
  </si>
  <si>
    <t>INTERSESTED IN SCIENCE ESPECIALLY IN ACID &amp; BASES</t>
  </si>
  <si>
    <t>INTERESTED IN  SCIENCE ESPECIALLY IN ACID &amp; BASES</t>
  </si>
  <si>
    <t>INTERSTED IN ANIME DRAWING</t>
  </si>
  <si>
    <t>INTERESTED IN STORY BOOK</t>
  </si>
  <si>
    <t xml:space="preserve">INTERESTED IN TYPING &amp; PLAYING GAMES </t>
  </si>
  <si>
    <t>INTERESTED IN SOCIAL ESPECIALLY IN MOGAL EMPIRE</t>
  </si>
  <si>
    <t>INTERESTED IN SOCIAL ESPECIALLY IN THE MOGAL EMPIRE</t>
  </si>
  <si>
    <t>INTERESTED READING NEWS PAPER</t>
  </si>
  <si>
    <t>INTERESTED IN SOCIAL ESPECIALLY ABOUT MAPS</t>
  </si>
  <si>
    <t>INTERESTED IN CRCIKET</t>
  </si>
  <si>
    <t>INTERSTED IN STORIES</t>
  </si>
  <si>
    <t>INTERESTED IN SOCIAL ESPECIALLY IN MAPS</t>
  </si>
  <si>
    <t>INTERESTED IN GAMES PLAYING IN CRICKET</t>
  </si>
  <si>
    <t>INTERETSED IN ANIME DRAWING</t>
  </si>
  <si>
    <t>INTERESTED IN ANIME DRAWINGS</t>
  </si>
  <si>
    <t>INTERESTED IN FOOD BALL</t>
  </si>
  <si>
    <t>INTERESTED IN SCIENCE, &amp; SOCIAL &amp; URDU, ESPECIALLY IN PLANTS TOPIC &amp; IN UNIVERSE</t>
  </si>
  <si>
    <t>INTERESTED IN TYPING , DRAWING I N COMPUTER</t>
  </si>
  <si>
    <t>INTERESTED IN EMPIRE STORIES BOOKS</t>
  </si>
  <si>
    <t>INTERETSED IN TYPING</t>
  </si>
  <si>
    <t>INTERESTED IN CHARTOON PICTURES</t>
  </si>
  <si>
    <t>INTERESTED IN TEXT BOOKS READING</t>
  </si>
  <si>
    <t>INTERETSED IN URUDU</t>
  </si>
  <si>
    <t>INTERESTED IN PAINTING ,TYPING IN COMPUTER</t>
  </si>
  <si>
    <t>INTERESTED IN ANIMAL PICTURES</t>
  </si>
  <si>
    <t>INTERETSED IN CRICKET</t>
  </si>
  <si>
    <t>INTERETSED IN TYPING PLAYING GAMES IN COMPUTER</t>
  </si>
  <si>
    <t>CLASS CANCELLED</t>
  </si>
  <si>
    <t>GOOD IN MATHAMATICS</t>
  </si>
  <si>
    <t>GOOD IN ENGLISH</t>
  </si>
  <si>
    <t>GOOD IN URDU&amp; MATHAMATICS</t>
  </si>
  <si>
    <t>ABDUL MUJEEB</t>
  </si>
  <si>
    <t>GOOD IN SOCIAL&amp;ENGLISH</t>
  </si>
  <si>
    <t>INTERESTED IN SOCIAL&amp;MATHAMATICS</t>
  </si>
  <si>
    <t>GOOD IN ENGLISH&amp;SOCIAL</t>
  </si>
  <si>
    <t>INTERESTED IN ENGLISH &amp;MATHAMATICS</t>
  </si>
  <si>
    <t>INTERSTED IN URDU ,MATHAMATIC&amp;ENGLISH</t>
  </si>
  <si>
    <t>GOOD IN MATHAMATICS,SOCIAL&amp;SCIENCE</t>
  </si>
  <si>
    <t>GOOD IN SCIENCE&amp;SOCIAL</t>
  </si>
  <si>
    <t>GOOD IN ENGLISH ,SCIENCE&amp;MATHAMATICS</t>
  </si>
  <si>
    <t>INTERESTED IN URDU ,SOCIAL&amp;</t>
  </si>
  <si>
    <t>INTERESTED IN ENGLISH,SOCIAL&amp;SCIENCE</t>
  </si>
  <si>
    <t>INTRESTED IN READING BOOKS</t>
  </si>
  <si>
    <t>NOT FEELING WELL</t>
  </si>
  <si>
    <t xml:space="preserve">NEED TO FOLLOW THE MEASUREMENT </t>
  </si>
  <si>
    <t>GOOD IN BALANCING FORM LINES AND REFLECTION DETAILS</t>
  </si>
  <si>
    <t>SURFACE HINTING AT TRANSLUCENCY</t>
  </si>
  <si>
    <t>GOOD IN UNDERSTANDING THE STRUCTURE OF THE FIGURE</t>
  </si>
  <si>
    <t>NEED TO FOCUS ON THE PERSPECTIVE OF THE FIGURE</t>
  </si>
  <si>
    <t>NEED TO CROSS SECTION THE CHANGES</t>
  </si>
  <si>
    <t>THE BASE, SHOULDER,AND MOUTH SHOULD BE DRAWN AS ELLIPSES</t>
  </si>
  <si>
    <t>ESTABLISHING A CENTER LINE TO ENSURE THE LEFT&amp;RIGHT SIDE OF THE FIGURE</t>
  </si>
  <si>
    <t>THE SLIGHT CURVE AT THE BOTTTOM INTERIOR NEED TO RECHECK</t>
  </si>
  <si>
    <t>THE TOP OF THE FIGUTRE ELLIPSES POINT TOWARD THE VANISHING POINTS</t>
  </si>
  <si>
    <t>NEED TO CHANGE THE VERTICAL RECTANGLE MEASUREMENT TO CORRECT THE FIGURE</t>
  </si>
  <si>
    <t xml:space="preserve">INCORPORATE CURVED LINES </t>
  </si>
  <si>
    <t>SHOWING PROGRESS IN DRAWING</t>
  </si>
  <si>
    <t>CAPTURIN G THE PROPORTION ACCURATELY</t>
  </si>
  <si>
    <t>PUT EFFORTS INTO THE DETAILING OF THE FIGURE</t>
  </si>
  <si>
    <t>GOOD OBSERVATION</t>
  </si>
  <si>
    <t>NEED TO RECHECK THE CURVES</t>
  </si>
  <si>
    <t>SIMPLIFYING THE FIGURE</t>
  </si>
  <si>
    <t>NEED TO REDUCE THE PRESSURE OF THE PENCIL</t>
  </si>
  <si>
    <t>NEED TO CORRECT THE OVERLAPPING THE LINES</t>
  </si>
  <si>
    <t xml:space="preserve">NEED TO CORRECT THE CURVES AND FINISHING </t>
  </si>
  <si>
    <t>INTERESTED IN READING BOOKS</t>
  </si>
  <si>
    <t>INTRESTED IN STORY BOOKS</t>
  </si>
  <si>
    <t>INTERESTED IN COMICS</t>
  </si>
  <si>
    <t>INTRESTED IN HORROR STORIES</t>
  </si>
  <si>
    <t>GOOD AT READING, IMPROVE IN COMMUNICATON SKILLS</t>
  </si>
  <si>
    <t>INTRESTED IN READING BOOKS, CHOOSY IN SELECTION</t>
  </si>
  <si>
    <t>TRYING TO FIGURE OUT THE STORY</t>
  </si>
  <si>
    <t>INTERESTED IN STORY BOOKS,TRYING TO FIGURE OUT THE STORY</t>
  </si>
  <si>
    <t>INTERESTED IN READING BOOKS, BUT VERY CHOOSY IN SELECTION</t>
  </si>
  <si>
    <t>INTERESTED IN READING BOOKS , NEED TO IMPROVE PATINCE</t>
  </si>
  <si>
    <t>NEED TO IMPROVE CONCENTRACTION</t>
  </si>
  <si>
    <t>AVERAGE PATINCE</t>
  </si>
  <si>
    <t xml:space="preserve"> NEED TO PAY ATTENTION</t>
  </si>
  <si>
    <t>INTERESTED  IN READING BOOKS, NEED TO PAY ATTENTION</t>
  </si>
  <si>
    <t>INTERESTED IN READING,GOOD AT VOCABULARY</t>
  </si>
  <si>
    <t>INTERESTED IN MORAL STORIES,  WELL CONCENTRATED</t>
  </si>
  <si>
    <t>NEED TO FOCUS ON  READING</t>
  </si>
  <si>
    <t>INTERESTED IN READING BOOKS,</t>
  </si>
  <si>
    <t>INTERSTED   IN READING BOOKS,WELL IN VOCABULARY</t>
  </si>
  <si>
    <t xml:space="preserve">GOOD IN READING </t>
  </si>
  <si>
    <t>GOOD IN READING , FOCUSED IN READING</t>
  </si>
  <si>
    <t>INTERESTED IN  READING DIFFERENT NKIND OF BOOKS</t>
  </si>
  <si>
    <t>PERFORMING WELL NEED MORE PRACTICE</t>
  </si>
  <si>
    <t>PLAYING WELL SHORT CRICKET</t>
  </si>
  <si>
    <t>PERFORMING WELL IN KHO KHO</t>
  </si>
  <si>
    <t>IMPROVE THROUGH SIMPLE STEPS IN BALANCING THE FIGURE</t>
  </si>
  <si>
    <t>NEED TO FOLLOW THE MEASUREMENTS PROPERLY</t>
  </si>
  <si>
    <t>NEED TO FOCUS ON FOUNDATION SKILLS</t>
  </si>
  <si>
    <t>GOOD IN CURVES OF THE FIGURE</t>
  </si>
  <si>
    <t>GOOD CREATIVE ELEMENTS</t>
  </si>
  <si>
    <t>NICE TAPERED SIDES GOOD OVAL BASE</t>
  </si>
  <si>
    <t>THE FIGURE HAS A GOOD SHAPE VERY BALANCED</t>
  </si>
  <si>
    <t>ADDING A CENTER LINE TO KEEP THE TOP &amp;BOTTOM ALIGNED FOR SYMMETRY</t>
  </si>
  <si>
    <t>NEED TOPAY ATTENTION IN THE CLASS</t>
  </si>
  <si>
    <t>NEED TO PRACTICE BY FOLLOWING THE PROPER MEASUREMENTS</t>
  </si>
  <si>
    <t>SHOWING PROGRESS IN DRAWING CAN IMPROVE</t>
  </si>
  <si>
    <t>CAN DO BETTER NEED PRACTICE</t>
  </si>
  <si>
    <t>PERFORMING WELL NEED PRACTICE</t>
  </si>
  <si>
    <t>NEED TO CONCENTRATE ON THE MEASUREMENTS</t>
  </si>
  <si>
    <t>NEED TO FOLLOW THE PROPORTION CORRECTLY</t>
  </si>
  <si>
    <t>NEED PRACTICE CAN IMPROVE</t>
  </si>
  <si>
    <t>SHOWING WILLINGNESS IN DRAWING</t>
  </si>
  <si>
    <t>NEED TO PAY ATTENTION OVERLAPPING LINES</t>
  </si>
  <si>
    <t>NEED TO FOCUS ON THE FIGURE MEASUREMENT</t>
  </si>
  <si>
    <t>NEED TO RECHECK  THE CURVES</t>
  </si>
  <si>
    <t>NEED TO CORRECT THE BASE OF THE FIGURE</t>
  </si>
  <si>
    <t>CORRECT THE CURVES OF THE FIGURE</t>
  </si>
  <si>
    <t>DOING GOOD CAN DO BETTER</t>
  </si>
  <si>
    <t>RECHECK THE CURVES AND FINISHING OF THE FIGURE</t>
  </si>
  <si>
    <t>INTERESTED IN TENNIS&amp;KHABADI</t>
  </si>
  <si>
    <t>KNOWS BASIC SKILLS LIKE DRAWING &amp;TYPING</t>
  </si>
  <si>
    <t xml:space="preserve">PREFER FAIRY TALES TO READ HAVING LIBRARY MEMBERSHIP READS DAILY EVENING BOOKS </t>
  </si>
  <si>
    <t>INTERESTED IN THROWBALL KHABADI AND PARTICIPATED IN 200MTS RUNNING RACE WON 3RD PRIZE</t>
  </si>
  <si>
    <t>BASIC SKILLS LIKE DRAWING&amp;TYPING</t>
  </si>
  <si>
    <t>INTERESTED IN THROWBALL,KHABADI AND PARTICIPATED IN 100MTS RUNNING RACE WON 1ST PRIZE,200MTS 1ST PRIZE</t>
  </si>
  <si>
    <t xml:space="preserve">PREFER FAIRY TALES TO READ AND HAVE HABIT OF READING BOOKS AT HOME ALSO </t>
  </si>
  <si>
    <t>INTERESTED IN THROWBALL,KHABADI</t>
  </si>
  <si>
    <t>PREFER TO READ HORROR STORIES,USING CHATGPT AND READ STORIES IN PHONE AT FREE TIME</t>
  </si>
  <si>
    <t>INTERESTED IN THROWBALL,KHABADI&amp;PARTICIPATED IN 200MTS RUNNING RACE</t>
  </si>
  <si>
    <t>PREFER TO READ ADVENTURES STORIES.HAVE A HABIT OF READING BOOKS THROUGH MOBILE PHONE</t>
  </si>
  <si>
    <t>INTERESTED IN BADMINTON&amp;CRICKET PREFER BATTING IN CRICKET</t>
  </si>
  <si>
    <t>PREFER HORROR STORIES TO READ</t>
  </si>
  <si>
    <t>INTERESTED IN BADMINTON ,FOOTBALL,VOLLEYBALL&amp;CRICKET</t>
  </si>
  <si>
    <t>PREFER TO READ MORAL STORIES</t>
  </si>
  <si>
    <t>INTERESTED IN FOOTBALL&amp;CRICKET ,PERFER BATTING IN CRICKET</t>
  </si>
  <si>
    <t>PREFER TO READ COMIC BOOKS HAVE A HABIT OF READING BOOKS AT HOME ALSO</t>
  </si>
  <si>
    <t>INTERESTED IN FOOTBALL,VOLLEYBALL</t>
  </si>
  <si>
    <t>PREFER ALL KIND OF BOOKS TO READ</t>
  </si>
  <si>
    <t>INTERESTED IN CRICKET,BADMINTON ,FOOTBALL</t>
  </si>
  <si>
    <t>PREFER TO READ HORROR STORIES</t>
  </si>
  <si>
    <t>SHAIK AIMAN SADIYA</t>
  </si>
  <si>
    <t>INTERESTED IN THROWBALL,KHABADI&amp;KHOKHO</t>
  </si>
  <si>
    <t>PREFER TO READ MORAL STORIES HAVE A HABIT OF READING BOOKS AT HOME ALSO</t>
  </si>
  <si>
    <t xml:space="preserve">PREFER MORAL STORIES TO READ </t>
  </si>
  <si>
    <t>NOT INTERESTED IN PARTICIPATING SPORTS .DO EVEN ATTEND GAMES PERIOD</t>
  </si>
  <si>
    <t>INTERESTED IN CRICKET ,VOLLEYBALL,FOOTBALL&amp;TENNIS.RUNNER IN TENNIS</t>
  </si>
  <si>
    <t>PREFER COMIC BOOKS TO READ</t>
  </si>
  <si>
    <t>INTERESTED IN CRICKET,BADMINTON ,VOLLEYBALL</t>
  </si>
  <si>
    <t>INTERESTED IN FOOTBALL&amp;PARTICIPATED IN 200MTS RUNNING RACE</t>
  </si>
  <si>
    <t>PREFER TO READ COMIC BOOKS</t>
  </si>
  <si>
    <t>KNOWS BASIC SKILLS LIKE DRAWING &amp;TYPING PRACTICE AT HOME ALSO</t>
  </si>
  <si>
    <t xml:space="preserve"> INTERESTED IN VOLLEYBALL,FOOTBALL,BADMINTON&amp;CRICKET</t>
  </si>
  <si>
    <t>PREFER  ALL KIND OF BOOKS TO READ</t>
  </si>
  <si>
    <t>PREFER TO READ KAKOLUKIYAM [PANCHATANTRA ]</t>
  </si>
  <si>
    <t>INTERESTED IN FOOTBALL,VOLLEYBALL&amp;PARTICIPATED IN 200MTS RUNNING RACE WON 3RD PRIZE</t>
  </si>
  <si>
    <t>INTERESTED IN FOOTBALL,CRICKET&amp;PARTICIPATED IN 200MTS RUNNING RACE WON 2ND PRIZE</t>
  </si>
  <si>
    <t>INTERESTED IN FOOTBALL,VOLLEYBALL&amp;CRICKET BATTING</t>
  </si>
  <si>
    <t>INTERESTED IN FOOTBALL&amp;CRICKET , ALLROUNDER</t>
  </si>
  <si>
    <t xml:space="preserve">PREFER HORROR STORIES TO READ </t>
  </si>
  <si>
    <t>INTERESTED IN CRICKET BATTING&amp;BOWLING</t>
  </si>
  <si>
    <t>PERFER CARTOON BOOKS TO READ</t>
  </si>
  <si>
    <t>INTERESTED IN FOOTBALL,BADMINTON ,VOLLEYBALL</t>
  </si>
  <si>
    <t xml:space="preserve">INTERESTED IN CRICKET,BADMINTON </t>
  </si>
  <si>
    <t>INTERESTED IN THROWBALL,KHABADI,KHOKHO</t>
  </si>
  <si>
    <t>INTERESTED IN THROWBALL,KHOKHO&amp;PARTICIPATED IN 100MTS RUNNING RACE</t>
  </si>
  <si>
    <t>INTERESTED IN KHABADI AND PARTICIPATED IN 100MTS RUNNING RACE</t>
  </si>
  <si>
    <t xml:space="preserve">INTERESTED </t>
  </si>
  <si>
    <t>INTERESTED IN KHABADI ,THROWBALL AND PARTICIPATED IN 100MTS RUNNING RACE</t>
  </si>
  <si>
    <t>PREFER TO READ FAIRY 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</si>
</sst>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Consolas"/>
      <family val="3"/>
    </font>
    <font>
      <sz val="8"/>
      <name val="Aptos Narrow"/>
      <family val="2"/>
      <scheme val="minor"/>
    </font>
  </fonts>
  <fills count="20">
    <fill>
      <patternFill patternType="none"/>
    </fill>
    <fill>
      <patternFill patternType="gray125"/>
    </fill>
    <fill>
      <patternFill patternType="solid">
        <fgColor theme="5"/>
        <bgColor indexed="64"/>
      </patternFill>
    </fill>
    <fill>
      <patternFill patternType="solid">
        <fgColor theme="8" tint="-0.249977111117893"/>
        <bgColor indexed="64"/>
      </patternFill>
    </fill>
    <fill>
      <patternFill patternType="solid">
        <fgColor rgb="FF7030A0"/>
        <bgColor indexed="64"/>
      </patternFill>
    </fill>
    <fill>
      <patternFill patternType="solid">
        <fgColor theme="9"/>
        <bgColor indexed="64"/>
      </patternFill>
    </fill>
    <fill>
      <patternFill patternType="solid">
        <fgColor theme="4" tint="0.79998168889431442"/>
        <bgColor indexed="64"/>
      </patternFill>
    </fill>
    <fill>
      <patternFill patternType="solid">
        <fgColor rgb="FF9966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2" fillId="2" borderId="1" xfId="0" applyFont="1" applyFill="1" applyBorder="1" applyAlignment="1">
      <alignment horizontal="center" vertical="center"/>
    </xf>
    <xf numFmtId="0" fontId="2" fillId="3" borderId="1" xfId="0" applyFont="1" applyFill="1" applyBorder="1"/>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0" borderId="1" xfId="0" applyBorder="1" applyAlignment="1">
      <alignment horizontal="center"/>
    </xf>
    <xf numFmtId="0" fontId="1" fillId="0" borderId="1" xfId="1" applyBorder="1" applyAlignment="1">
      <alignment horizontal="center"/>
    </xf>
    <xf numFmtId="0" fontId="0" fillId="0" borderId="1" xfId="0" applyBorder="1"/>
    <xf numFmtId="0" fontId="0" fillId="0" borderId="1" xfId="0" applyBorder="1" applyAlignment="1">
      <alignment wrapText="1"/>
    </xf>
    <xf numFmtId="0" fontId="4" fillId="0" borderId="1" xfId="0" applyFont="1" applyBorder="1" applyAlignment="1">
      <alignment horizontal="left" vertical="center"/>
    </xf>
    <xf numFmtId="0" fontId="1" fillId="10" borderId="1" xfId="1" applyFill="1" applyBorder="1" applyAlignment="1">
      <alignment horizontal="center"/>
    </xf>
    <xf numFmtId="0" fontId="1" fillId="0" borderId="1" xfId="1" applyBorder="1" applyAlignment="1">
      <alignment horizontal="left" vertical="top" wrapText="1"/>
    </xf>
    <xf numFmtId="0" fontId="0" fillId="0" borderId="1" xfId="0" applyBorder="1" applyAlignment="1">
      <alignment horizontal="left" vertical="top" wrapText="1"/>
    </xf>
    <xf numFmtId="0" fontId="0" fillId="11" borderId="1" xfId="0" applyFill="1" applyBorder="1" applyAlignment="1">
      <alignment horizontal="center"/>
    </xf>
    <xf numFmtId="0" fontId="0" fillId="12" borderId="1" xfId="0" applyFill="1" applyBorder="1" applyAlignment="1">
      <alignment horizontal="center"/>
    </xf>
    <xf numFmtId="0" fontId="0" fillId="6" borderId="1" xfId="0" applyFill="1" applyBorder="1" applyAlignment="1">
      <alignment horizontal="center"/>
    </xf>
    <xf numFmtId="0" fontId="0" fillId="13" borderId="1" xfId="0" applyFill="1" applyBorder="1" applyAlignment="1">
      <alignment horizontal="center"/>
    </xf>
    <xf numFmtId="0" fontId="0" fillId="14" borderId="1" xfId="0" applyFill="1" applyBorder="1" applyAlignment="1">
      <alignment horizontal="center"/>
    </xf>
    <xf numFmtId="0" fontId="0" fillId="15" borderId="1" xfId="0" applyFill="1" applyBorder="1"/>
    <xf numFmtId="0" fontId="0" fillId="0" borderId="1" xfId="1" applyFont="1" applyBorder="1" applyAlignment="1">
      <alignment horizontal="left" vertical="top" wrapText="1"/>
    </xf>
    <xf numFmtId="0" fontId="0" fillId="12" borderId="1" xfId="0" applyFill="1" applyBorder="1"/>
    <xf numFmtId="0" fontId="0" fillId="13" borderId="1" xfId="0" applyFill="1" applyBorder="1"/>
    <xf numFmtId="0" fontId="0" fillId="16" borderId="1" xfId="0" applyFill="1" applyBorder="1"/>
    <xf numFmtId="0" fontId="0" fillId="17" borderId="1" xfId="0" applyFill="1" applyBorder="1"/>
    <xf numFmtId="0" fontId="0" fillId="18" borderId="1" xfId="0" applyFill="1" applyBorder="1"/>
    <xf numFmtId="0" fontId="0" fillId="19" borderId="1" xfId="0" applyFill="1" applyBorder="1"/>
    <xf numFmtId="0" fontId="3" fillId="9" borderId="1" xfId="0" applyFont="1" applyFill="1" applyBorder="1" applyAlignment="1">
      <alignment horizontal="center" vertical="center"/>
    </xf>
    <xf numFmtId="0" fontId="2" fillId="3" borderId="1" xfId="0" applyFont="1" applyFill="1" applyBorder="1" applyAlignment="1">
      <alignment horizont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5" borderId="1" xfId="0" applyFont="1" applyFill="1" applyBorder="1" applyAlignment="1">
      <alignment horizontal="center"/>
    </xf>
    <xf numFmtId="0" fontId="0" fillId="0" borderId="1" xfId="0" applyFill="1" applyBorder="1"/>
  </cellXfs>
  <cellStyles count="2">
    <cellStyle name="Normal" xfId="0" builtinId="0"/>
    <cellStyle name="Normal 2" xfId="1" xr:uid="{B9720C1F-72EF-4929-A89A-41ED133CBE43}"/>
  </cellStyles>
  <dxfs count="1063">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7953-386E-4EC5-B5C6-7D4B85A51A58}">
  <dimension ref="A1:BR248"/>
  <sheetViews>
    <sheetView tabSelected="1" topLeftCell="N112" zoomScale="82" zoomScaleNormal="82" workbookViewId="0">
      <selection activeCell="R172" sqref="R172"/>
    </sheetView>
  </sheetViews>
  <sheetFormatPr defaultRowHeight="14.25" x14ac:dyDescent="0.45"/>
  <cols>
    <col min="1" max="1" width="29.59765625" style="10" bestFit="1" customWidth="1"/>
    <col min="2" max="2" width="14.9296875" style="10" customWidth="1"/>
    <col min="3" max="3" width="9.06640625" style="10"/>
    <col min="4" max="4" width="45.33203125" style="10" customWidth="1"/>
    <col min="5" max="5" width="9.06640625" style="10"/>
    <col min="6" max="6" width="52.265625" style="10" customWidth="1"/>
    <col min="7" max="7" width="9.06640625" style="8"/>
    <col min="8" max="8" width="44.19921875" style="10" bestFit="1" customWidth="1"/>
    <col min="9" max="9" width="9.06640625" style="10"/>
    <col min="10" max="10" width="116.53125" style="10" customWidth="1"/>
    <col min="11" max="11" width="9.06640625" style="10"/>
    <col min="12" max="12" width="77.06640625" style="10" customWidth="1"/>
    <col min="13" max="13" width="9.06640625" style="10"/>
    <col min="14" max="14" width="68.3984375" style="10" customWidth="1"/>
    <col min="15" max="15" width="9.06640625" style="10"/>
    <col min="16" max="16" width="64.06640625" style="10" customWidth="1"/>
    <col min="17" max="17" width="9.06640625" style="10"/>
    <col min="18" max="18" width="96.9296875" style="10" customWidth="1"/>
    <col min="19" max="63" width="9.06640625" style="10"/>
    <col min="64" max="64" width="113.9296875" style="10" customWidth="1"/>
    <col min="65" max="16384" width="9.06640625" style="10"/>
  </cols>
  <sheetData>
    <row r="1" spans="1:70" ht="14.35" customHeight="1" x14ac:dyDescent="0.45">
      <c r="A1" s="1" t="s">
        <v>76</v>
      </c>
      <c r="B1" s="2"/>
      <c r="C1" s="31" t="s">
        <v>0</v>
      </c>
      <c r="D1" s="31"/>
      <c r="E1" s="30" t="s">
        <v>1</v>
      </c>
      <c r="F1" s="30"/>
      <c r="G1" s="30" t="s">
        <v>2</v>
      </c>
      <c r="H1" s="30"/>
      <c r="I1" s="30" t="s">
        <v>3</v>
      </c>
      <c r="J1" s="30"/>
      <c r="K1" s="30" t="s">
        <v>4</v>
      </c>
      <c r="L1" s="30"/>
      <c r="M1" s="30" t="s">
        <v>5</v>
      </c>
      <c r="N1" s="30"/>
      <c r="O1" s="30" t="s">
        <v>6</v>
      </c>
      <c r="P1" s="30"/>
      <c r="Q1" s="30" t="s">
        <v>7</v>
      </c>
      <c r="R1" s="30"/>
      <c r="S1" s="30" t="s">
        <v>8</v>
      </c>
      <c r="T1" s="30"/>
      <c r="U1" s="30" t="s">
        <v>9</v>
      </c>
      <c r="V1" s="30"/>
      <c r="W1" s="30" t="s">
        <v>10</v>
      </c>
      <c r="X1" s="30"/>
      <c r="Y1" s="30" t="s">
        <v>11</v>
      </c>
      <c r="Z1" s="30"/>
      <c r="AA1" s="30" t="s">
        <v>12</v>
      </c>
      <c r="AB1" s="30"/>
      <c r="AC1" s="30" t="s">
        <v>13</v>
      </c>
      <c r="AD1" s="30"/>
      <c r="AE1" s="30" t="s">
        <v>14</v>
      </c>
      <c r="AF1" s="30"/>
      <c r="AG1" s="30" t="s">
        <v>15</v>
      </c>
      <c r="AH1" s="30"/>
      <c r="AI1" s="30" t="s">
        <v>16</v>
      </c>
      <c r="AJ1" s="30"/>
      <c r="AK1" s="30" t="s">
        <v>17</v>
      </c>
      <c r="AL1" s="30"/>
      <c r="AM1" s="30" t="s">
        <v>18</v>
      </c>
      <c r="AN1" s="30"/>
      <c r="AO1" s="30" t="s">
        <v>19</v>
      </c>
      <c r="AP1" s="30"/>
      <c r="AQ1" s="30" t="s">
        <v>20</v>
      </c>
      <c r="AR1" s="30"/>
      <c r="AS1" s="30" t="s">
        <v>21</v>
      </c>
      <c r="AT1" s="30"/>
      <c r="AU1" s="30" t="s">
        <v>22</v>
      </c>
      <c r="AV1" s="30"/>
      <c r="AW1" s="30" t="s">
        <v>23</v>
      </c>
      <c r="AX1" s="30"/>
      <c r="AY1" s="30" t="s">
        <v>24</v>
      </c>
      <c r="AZ1" s="30"/>
      <c r="BA1" s="30" t="s">
        <v>25</v>
      </c>
      <c r="BB1" s="30"/>
      <c r="BC1" s="30" t="s">
        <v>26</v>
      </c>
      <c r="BD1" s="30"/>
      <c r="BE1" s="30" t="s">
        <v>27</v>
      </c>
      <c r="BF1" s="30"/>
      <c r="BG1" s="30" t="s">
        <v>28</v>
      </c>
      <c r="BH1" s="30"/>
      <c r="BI1" s="30" t="s">
        <v>29</v>
      </c>
      <c r="BJ1" s="30"/>
      <c r="BK1" s="32" t="s">
        <v>30</v>
      </c>
      <c r="BL1" s="32"/>
      <c r="BM1" s="33" t="s">
        <v>31</v>
      </c>
      <c r="BN1" s="33"/>
      <c r="BO1" s="33" t="s">
        <v>32</v>
      </c>
      <c r="BP1" s="33"/>
      <c r="BQ1" s="33" t="s">
        <v>33</v>
      </c>
      <c r="BR1" s="33"/>
    </row>
    <row r="2" spans="1:70" ht="14.35" customHeight="1" x14ac:dyDescent="0.45">
      <c r="A2" s="3" t="s">
        <v>34</v>
      </c>
      <c r="B2" s="3" t="s">
        <v>35</v>
      </c>
      <c r="C2" s="4" t="s">
        <v>36</v>
      </c>
      <c r="D2" s="4" t="s">
        <v>37</v>
      </c>
      <c r="E2" s="4" t="s">
        <v>36</v>
      </c>
      <c r="F2" s="4" t="s">
        <v>37</v>
      </c>
      <c r="G2" s="4" t="s">
        <v>36</v>
      </c>
      <c r="H2" s="4" t="s">
        <v>37</v>
      </c>
      <c r="I2" s="4" t="s">
        <v>36</v>
      </c>
      <c r="J2" s="4" t="s">
        <v>37</v>
      </c>
      <c r="K2" s="4" t="s">
        <v>36</v>
      </c>
      <c r="L2" s="4" t="s">
        <v>37</v>
      </c>
      <c r="M2" s="4" t="s">
        <v>36</v>
      </c>
      <c r="N2" s="4" t="s">
        <v>37</v>
      </c>
      <c r="O2" s="4" t="s">
        <v>36</v>
      </c>
      <c r="P2" s="4" t="s">
        <v>37</v>
      </c>
      <c r="Q2" s="4" t="s">
        <v>36</v>
      </c>
      <c r="R2" s="4" t="s">
        <v>37</v>
      </c>
      <c r="S2" s="4" t="s">
        <v>36</v>
      </c>
      <c r="T2" s="4" t="s">
        <v>37</v>
      </c>
      <c r="U2" s="4" t="s">
        <v>36</v>
      </c>
      <c r="V2" s="4" t="s">
        <v>37</v>
      </c>
      <c r="W2" s="4" t="s">
        <v>36</v>
      </c>
      <c r="X2" s="4" t="s">
        <v>37</v>
      </c>
      <c r="Y2" s="4" t="s">
        <v>36</v>
      </c>
      <c r="Z2" s="4" t="s">
        <v>37</v>
      </c>
      <c r="AA2" s="4" t="s">
        <v>36</v>
      </c>
      <c r="AB2" s="4" t="s">
        <v>37</v>
      </c>
      <c r="AC2" s="4" t="s">
        <v>36</v>
      </c>
      <c r="AD2" s="4" t="s">
        <v>37</v>
      </c>
      <c r="AE2" s="4" t="s">
        <v>36</v>
      </c>
      <c r="AF2" s="4" t="s">
        <v>37</v>
      </c>
      <c r="AG2" s="4" t="s">
        <v>36</v>
      </c>
      <c r="AH2" s="4" t="s">
        <v>37</v>
      </c>
      <c r="AI2" s="4" t="s">
        <v>36</v>
      </c>
      <c r="AJ2" s="4" t="s">
        <v>37</v>
      </c>
      <c r="AK2" s="4" t="s">
        <v>36</v>
      </c>
      <c r="AL2" s="4" t="s">
        <v>37</v>
      </c>
      <c r="AM2" s="4" t="s">
        <v>36</v>
      </c>
      <c r="AN2" s="4" t="s">
        <v>37</v>
      </c>
      <c r="AO2" s="4" t="s">
        <v>36</v>
      </c>
      <c r="AP2" s="4" t="s">
        <v>37</v>
      </c>
      <c r="AQ2" s="4" t="s">
        <v>36</v>
      </c>
      <c r="AR2" s="4" t="s">
        <v>37</v>
      </c>
      <c r="AS2" s="4" t="s">
        <v>36</v>
      </c>
      <c r="AT2" s="4" t="s">
        <v>37</v>
      </c>
      <c r="AU2" s="4" t="s">
        <v>36</v>
      </c>
      <c r="AV2" s="4" t="s">
        <v>37</v>
      </c>
      <c r="AW2" s="4" t="s">
        <v>36</v>
      </c>
      <c r="AX2" s="4" t="s">
        <v>37</v>
      </c>
      <c r="AY2" s="4" t="s">
        <v>36</v>
      </c>
      <c r="AZ2" s="4" t="s">
        <v>37</v>
      </c>
      <c r="BA2" s="4" t="s">
        <v>36</v>
      </c>
      <c r="BB2" s="4" t="s">
        <v>37</v>
      </c>
      <c r="BC2" s="4" t="s">
        <v>36</v>
      </c>
      <c r="BD2" s="4" t="s">
        <v>37</v>
      </c>
      <c r="BE2" s="4" t="s">
        <v>36</v>
      </c>
      <c r="BF2" s="4" t="s">
        <v>37</v>
      </c>
      <c r="BG2" s="4" t="s">
        <v>36</v>
      </c>
      <c r="BH2" s="4" t="s">
        <v>37</v>
      </c>
      <c r="BI2" s="4" t="s">
        <v>36</v>
      </c>
      <c r="BJ2" s="4" t="s">
        <v>37</v>
      </c>
      <c r="BK2" s="5" t="s">
        <v>38</v>
      </c>
      <c r="BL2" s="6" t="s">
        <v>39</v>
      </c>
      <c r="BM2" s="7" t="s">
        <v>36</v>
      </c>
      <c r="BN2" s="7" t="s">
        <v>37</v>
      </c>
      <c r="BO2" s="7" t="s">
        <v>36</v>
      </c>
      <c r="BP2" s="7" t="s">
        <v>37</v>
      </c>
      <c r="BQ2" s="7" t="s">
        <v>36</v>
      </c>
      <c r="BR2" s="7" t="s">
        <v>37</v>
      </c>
    </row>
    <row r="3" spans="1:70" ht="14.35" customHeight="1" x14ac:dyDescent="0.45">
      <c r="A3" s="29" t="s">
        <v>46</v>
      </c>
      <c r="B3" s="8" t="s">
        <v>40</v>
      </c>
      <c r="C3" s="9"/>
      <c r="D3" s="15"/>
      <c r="E3" s="8"/>
      <c r="I3" s="8"/>
      <c r="K3" s="8">
        <v>79</v>
      </c>
      <c r="L3" s="10" t="s">
        <v>225</v>
      </c>
      <c r="BK3" s="8">
        <f t="shared" ref="BK3:BK66" si="0">IFERROR(AVERAGEIF(C3:BI3,"&lt;&gt;nill"), "")</f>
        <v>79</v>
      </c>
      <c r="BL3" s="11" t="str" cm="1">
        <f t="array" ref="BL3">_xlfn.TEXTJOIN(" ", TRUE, _xlfn._xlws.FILTER(C3:BJ3, MOD(COLUMN(C3:BJ3)-COLUMN(BN3),2)=0))</f>
        <v>INTERSTED IN URDU ,MATHAMATIC&amp;ENGLISH</v>
      </c>
      <c r="BM3" s="8"/>
      <c r="BN3" s="12"/>
      <c r="BO3" s="8"/>
      <c r="BP3" s="12"/>
      <c r="BQ3" s="8"/>
      <c r="BR3" s="12"/>
    </row>
    <row r="4" spans="1:70" ht="14.35" customHeight="1" x14ac:dyDescent="0.45">
      <c r="A4" s="29"/>
      <c r="B4" s="8" t="s">
        <v>41</v>
      </c>
      <c r="C4" s="13"/>
      <c r="D4" s="14" t="s">
        <v>80</v>
      </c>
      <c r="E4" s="8">
        <v>25</v>
      </c>
      <c r="F4" s="10" t="s">
        <v>107</v>
      </c>
      <c r="G4" s="8">
        <v>50</v>
      </c>
      <c r="H4" s="10" t="s">
        <v>136</v>
      </c>
      <c r="I4" s="8">
        <v>50</v>
      </c>
      <c r="J4" s="10" t="s">
        <v>136</v>
      </c>
      <c r="K4" s="8">
        <v>75</v>
      </c>
      <c r="L4" s="10" t="s">
        <v>179</v>
      </c>
      <c r="M4" s="19">
        <v>65</v>
      </c>
      <c r="N4" s="10" t="s">
        <v>277</v>
      </c>
      <c r="Q4" s="27">
        <v>90</v>
      </c>
      <c r="R4" s="10" t="s">
        <v>318</v>
      </c>
      <c r="BK4" s="8">
        <f t="shared" si="0"/>
        <v>59.166666666666664</v>
      </c>
      <c r="BL4" s="11" t="str" cm="1">
        <f t="array" ref="BL4">_xlfn.TEXTJOIN(" ", TRUE, _xlfn._xlws.FILTER(C4:BJ4, MOD(COLUMN(C4:BJ4)-COLUMN(BN4),2)=0))</f>
        <v>NO CLASS DUE TO HOLIDAY PLAYING WITHOUT ANY AIM PLAYING WELL IN SHUTTLE PLAYING WELL IN SHUTTLE INTERESTED IN CRICKET PLAYING WELL SHORT CRICKET INTERESTED IN FOOTBALL&amp;CRICKET ,PERFER BATTING IN CRICKET</v>
      </c>
      <c r="BM4" s="8">
        <v>50</v>
      </c>
      <c r="BN4" s="12"/>
      <c r="BO4" s="8"/>
      <c r="BP4" s="12"/>
      <c r="BQ4" s="8"/>
      <c r="BR4" s="12"/>
    </row>
    <row r="5" spans="1:70" ht="14.35" customHeight="1" x14ac:dyDescent="0.45">
      <c r="A5" s="29"/>
      <c r="B5" s="8" t="s">
        <v>42</v>
      </c>
      <c r="C5" s="9"/>
      <c r="D5" s="14" t="s">
        <v>80</v>
      </c>
      <c r="E5" s="8">
        <v>50</v>
      </c>
      <c r="F5" s="10" t="s">
        <v>88</v>
      </c>
      <c r="G5" s="8">
        <v>75</v>
      </c>
      <c r="H5" s="10" t="s">
        <v>137</v>
      </c>
      <c r="I5" s="19">
        <v>65</v>
      </c>
      <c r="J5" s="10" t="s">
        <v>88</v>
      </c>
      <c r="K5" s="19">
        <v>65</v>
      </c>
      <c r="L5" s="10" t="s">
        <v>153</v>
      </c>
      <c r="M5" s="19">
        <v>65</v>
      </c>
      <c r="N5" s="10" t="s">
        <v>276</v>
      </c>
      <c r="Q5" s="26">
        <v>80</v>
      </c>
      <c r="R5" s="10" t="s">
        <v>304</v>
      </c>
      <c r="BK5" s="8">
        <f t="shared" si="0"/>
        <v>66.666666666666671</v>
      </c>
      <c r="BL5" s="11" t="str" cm="1">
        <f t="array" ref="BL5">_xlfn.TEXTJOIN(" ", TRUE, _xlfn._xlws.FILTER(C5:BJ5, MOD(COLUMN(C5:BJ5)-COLUMN(BN5),2)=0))</f>
        <v>NO CLASS DUE TO HOLIDAY PERFORMING WELL NEED MOTIVATION,CAN IMPROVE SHOWING INTEREST NEED PRACTICE PERFORMING WELL NEED MOTIVATION,CAN IMPROVE INTERESTED IN TYPING PERFORMING WELL NEED MORE PRACTICE KNOWS BASIC SKILLS LIKE DRAWING &amp;TYPING</v>
      </c>
      <c r="BM5" s="8"/>
      <c r="BN5" s="12"/>
      <c r="BO5" s="8"/>
      <c r="BP5" s="12"/>
      <c r="BQ5" s="8"/>
      <c r="BR5" s="12"/>
    </row>
    <row r="6" spans="1:70" ht="14.35" customHeight="1" x14ac:dyDescent="0.45">
      <c r="A6" s="29"/>
      <c r="B6" s="8" t="s">
        <v>43</v>
      </c>
      <c r="C6" s="9" t="s">
        <v>79</v>
      </c>
      <c r="D6" s="14" t="s">
        <v>79</v>
      </c>
      <c r="E6" s="8">
        <v>25</v>
      </c>
      <c r="F6" s="10" t="s">
        <v>82</v>
      </c>
      <c r="G6" s="8" t="s">
        <v>79</v>
      </c>
      <c r="H6" s="10" t="s">
        <v>79</v>
      </c>
      <c r="I6" s="8" t="s">
        <v>79</v>
      </c>
      <c r="J6" s="10" t="s">
        <v>131</v>
      </c>
      <c r="K6" s="8"/>
      <c r="M6" s="19">
        <v>65</v>
      </c>
      <c r="N6" s="10" t="s">
        <v>233</v>
      </c>
      <c r="O6" s="19">
        <v>65</v>
      </c>
      <c r="P6" s="10" t="s">
        <v>279</v>
      </c>
      <c r="Q6" s="26">
        <v>80</v>
      </c>
      <c r="R6" s="10" t="s">
        <v>295</v>
      </c>
      <c r="BK6" s="8">
        <f t="shared" si="0"/>
        <v>58.75</v>
      </c>
      <c r="BL6" s="11" t="str" cm="1">
        <f t="array" ref="BL6">_xlfn.TEXTJOIN(" ", TRUE, _xlfn._xlws.FILTER(C6:BJ6, MOD(COLUMN(C6:BJ6)-COLUMN(BN6),2)=0))</f>
        <v>AB NEUTRAL PARTICIPATION AB ABSENT NEED TO FOLLOW THE MEASUREMENT  IMPROVE THROUGH SIMPLE STEPS IN BALANCING THE FIGURE SHOWING WILLINGNESS IN DRAWING</v>
      </c>
      <c r="BM6" s="8"/>
      <c r="BN6" s="12"/>
      <c r="BO6" s="8"/>
      <c r="BP6" s="12"/>
      <c r="BQ6" s="8"/>
      <c r="BR6" s="12"/>
    </row>
    <row r="7" spans="1:70" ht="14.35" customHeight="1" x14ac:dyDescent="0.45">
      <c r="A7" s="29"/>
      <c r="B7" s="8" t="s">
        <v>44</v>
      </c>
      <c r="C7" s="9">
        <v>25</v>
      </c>
      <c r="D7" s="14" t="s">
        <v>96</v>
      </c>
      <c r="E7" s="8">
        <v>25</v>
      </c>
      <c r="F7" s="10" t="s">
        <v>82</v>
      </c>
      <c r="G7" s="8">
        <v>50</v>
      </c>
      <c r="H7" s="10" t="s">
        <v>138</v>
      </c>
      <c r="I7" s="8">
        <v>50</v>
      </c>
      <c r="J7" s="10" t="s">
        <v>139</v>
      </c>
      <c r="K7" s="19">
        <v>65</v>
      </c>
      <c r="L7" s="10" t="s">
        <v>154</v>
      </c>
      <c r="N7" s="10" t="s">
        <v>216</v>
      </c>
      <c r="O7" s="10">
        <v>60</v>
      </c>
      <c r="P7" s="10" t="s">
        <v>263</v>
      </c>
      <c r="Q7" s="26">
        <v>80</v>
      </c>
      <c r="R7" s="10" t="s">
        <v>327</v>
      </c>
      <c r="BK7" s="8">
        <f t="shared" si="0"/>
        <v>50.714285714285715</v>
      </c>
      <c r="BL7" s="11" t="str" cm="1">
        <f t="array" ref="BL7">_xlfn.TEXTJOIN(" ", TRUE, _xlfn._xlws.FILTER(C7:BJ7, MOD(COLUMN(C7:BJ7)-COLUMN(BN7),2)=0))</f>
        <v xml:space="preserve">NEUTRAL PARTICIPATION IN CLASS NEUTRAL PARTICIPATION FEELING DIFFICULT TO READ HARD WORDS NOT PAYING ATTENTION IN THE CLASS INTERESTED IN STORY BOOKS CLASS CANCELLED INTERESTED IN READING BOOKS , NEED TO IMPROVE PATINCE PREFER MORAL STORIES TO READ </v>
      </c>
      <c r="BM7" s="8"/>
      <c r="BN7" s="12"/>
      <c r="BO7" s="8"/>
      <c r="BP7" s="12"/>
      <c r="BQ7" s="8"/>
      <c r="BR7" s="12"/>
    </row>
    <row r="8" spans="1:70" ht="14.35" customHeight="1" x14ac:dyDescent="0.45">
      <c r="A8" s="29"/>
      <c r="B8" s="8" t="s">
        <v>45</v>
      </c>
      <c r="C8" s="9"/>
      <c r="D8" s="15"/>
      <c r="E8" s="8"/>
      <c r="I8" s="8"/>
      <c r="BK8" s="8" t="str">
        <f t="shared" si="0"/>
        <v/>
      </c>
      <c r="BL8" s="11" t="str" cm="1">
        <f t="array" ref="BL8">_xlfn.TEXTJOIN(" ", TRUE, _xlfn._xlws.FILTER(C8:BJ8, MOD(COLUMN(C8:BJ8)-COLUMN(BN8),2)=0))</f>
        <v/>
      </c>
      <c r="BM8" s="8"/>
      <c r="BO8" s="8"/>
      <c r="BQ8" s="8"/>
    </row>
    <row r="9" spans="1:70" ht="14.35" customHeight="1" x14ac:dyDescent="0.45">
      <c r="A9" s="29" t="s">
        <v>47</v>
      </c>
      <c r="B9" s="8" t="s">
        <v>40</v>
      </c>
      <c r="C9" s="9"/>
      <c r="D9" s="14"/>
      <c r="E9" s="8"/>
      <c r="I9" s="8"/>
      <c r="K9" s="8">
        <v>79</v>
      </c>
      <c r="L9" s="10" t="s">
        <v>223</v>
      </c>
      <c r="BK9" s="8">
        <f t="shared" si="0"/>
        <v>79</v>
      </c>
      <c r="BL9" s="11" t="str" cm="1">
        <f t="array" ref="BL9">_xlfn.TEXTJOIN(" ", TRUE, _xlfn._xlws.FILTER(C9:BJ9, MOD(COLUMN(C9:BJ9)-COLUMN(BN9),2)=0))</f>
        <v>GOOD IN ENGLISH&amp;SOCIAL</v>
      </c>
      <c r="BM9" s="8"/>
      <c r="BO9" s="8"/>
      <c r="BQ9" s="8"/>
    </row>
    <row r="10" spans="1:70" ht="14.35" customHeight="1" x14ac:dyDescent="0.45">
      <c r="A10" s="29"/>
      <c r="B10" s="8" t="s">
        <v>41</v>
      </c>
      <c r="C10" s="9"/>
      <c r="D10" s="14" t="s">
        <v>80</v>
      </c>
      <c r="E10" s="8">
        <v>25</v>
      </c>
      <c r="F10" s="10" t="s">
        <v>107</v>
      </c>
      <c r="G10" s="8">
        <v>50</v>
      </c>
      <c r="H10" s="10" t="s">
        <v>136</v>
      </c>
      <c r="I10" s="8">
        <v>50</v>
      </c>
      <c r="J10" s="10" t="s">
        <v>136</v>
      </c>
      <c r="K10" s="8">
        <v>75</v>
      </c>
      <c r="L10" s="10" t="s">
        <v>161</v>
      </c>
      <c r="M10" s="19">
        <v>65</v>
      </c>
      <c r="N10" s="10" t="s">
        <v>277</v>
      </c>
      <c r="Q10" s="27">
        <v>90</v>
      </c>
      <c r="R10" s="10" t="s">
        <v>341</v>
      </c>
      <c r="BK10" s="8">
        <f t="shared" si="0"/>
        <v>59.166666666666664</v>
      </c>
      <c r="BL10" s="11" t="str" cm="1">
        <f t="array" ref="BL10">_xlfn.TEXTJOIN(" ", TRUE, _xlfn._xlws.FILTER(C10:BJ10, MOD(COLUMN(C10:BJ10)-COLUMN(BN10),2)=0))</f>
        <v>NO CLASS DUE TO HOLIDAY PLAYING WITHOUT ANY AIM PLAYING WELL IN SHUTTLE PLAYING WELL IN SHUTTLE INTERESTED IN KHO-KHO PLAYING WELL SHORT CRICKET INTERESTED IN FOOTBALL&amp;CRICKET , ALLROUNDER</v>
      </c>
      <c r="BM10" s="8"/>
      <c r="BO10" s="8"/>
      <c r="BQ10" s="8"/>
    </row>
    <row r="11" spans="1:70" ht="14.35" customHeight="1" x14ac:dyDescent="0.45">
      <c r="A11" s="29"/>
      <c r="B11" s="8" t="s">
        <v>42</v>
      </c>
      <c r="C11" s="9"/>
      <c r="D11" s="14" t="s">
        <v>80</v>
      </c>
      <c r="E11" s="8">
        <v>50</v>
      </c>
      <c r="F11" s="10" t="s">
        <v>88</v>
      </c>
      <c r="G11" s="8">
        <v>75</v>
      </c>
      <c r="H11" s="10" t="s">
        <v>137</v>
      </c>
      <c r="I11" s="19">
        <v>65</v>
      </c>
      <c r="J11" s="10" t="s">
        <v>88</v>
      </c>
      <c r="K11" s="8"/>
      <c r="M11" s="19">
        <v>65</v>
      </c>
      <c r="N11" s="10" t="s">
        <v>276</v>
      </c>
      <c r="Q11" s="26">
        <v>80</v>
      </c>
      <c r="R11" s="10" t="s">
        <v>304</v>
      </c>
      <c r="BK11" s="8">
        <f t="shared" si="0"/>
        <v>67</v>
      </c>
      <c r="BL11" s="11" t="str" cm="1">
        <f t="array" ref="BL11">_xlfn.TEXTJOIN(" ", TRUE, _xlfn._xlws.FILTER(C11:BJ11, MOD(COLUMN(C11:BJ11)-COLUMN(BN11),2)=0))</f>
        <v>NO CLASS DUE TO HOLIDAY PERFORMING WELL NEED MOTIVATION,CAN IMPROVE SHOWING INTEREST NEED PRACTICE PERFORMING WELL NEED MOTIVATION,CAN IMPROVE PERFORMING WELL NEED MORE PRACTICE KNOWS BASIC SKILLS LIKE DRAWING &amp;TYPING</v>
      </c>
      <c r="BM11" s="8"/>
      <c r="BO11" s="8"/>
      <c r="BQ11" s="8"/>
    </row>
    <row r="12" spans="1:70" ht="14.35" customHeight="1" x14ac:dyDescent="0.45">
      <c r="A12" s="29"/>
      <c r="B12" s="8" t="s">
        <v>43</v>
      </c>
      <c r="C12" s="9" t="s">
        <v>79</v>
      </c>
      <c r="D12" s="14" t="s">
        <v>79</v>
      </c>
      <c r="E12" s="8">
        <v>25</v>
      </c>
      <c r="F12" s="10" t="s">
        <v>82</v>
      </c>
      <c r="G12" s="8" t="s">
        <v>79</v>
      </c>
      <c r="H12" s="10" t="s">
        <v>79</v>
      </c>
      <c r="I12" s="8" t="s">
        <v>79</v>
      </c>
      <c r="J12" s="10" t="s">
        <v>131</v>
      </c>
      <c r="K12" s="8"/>
      <c r="M12" s="10" t="s">
        <v>79</v>
      </c>
      <c r="N12" s="10" t="s">
        <v>79</v>
      </c>
      <c r="O12" s="24">
        <v>60</v>
      </c>
      <c r="P12" s="10" t="s">
        <v>280</v>
      </c>
      <c r="Q12" s="26">
        <v>80</v>
      </c>
      <c r="R12" s="10" t="s">
        <v>295</v>
      </c>
      <c r="BK12" s="8">
        <f t="shared" si="0"/>
        <v>55</v>
      </c>
      <c r="BL12" s="11" t="str" cm="1">
        <f t="array" ref="BL12">_xlfn.TEXTJOIN(" ", TRUE, _xlfn._xlws.FILTER(C12:BJ12, MOD(COLUMN(C12:BJ12)-COLUMN(BN12),2)=0))</f>
        <v>AB NEUTRAL PARTICIPATION AB ABSENT AB NEED TO FOLLOW THE MEASUREMENTS PROPERLY SHOWING WILLINGNESS IN DRAWING</v>
      </c>
      <c r="BM12" s="8"/>
      <c r="BO12" s="8"/>
      <c r="BQ12" s="8"/>
    </row>
    <row r="13" spans="1:70" ht="14.35" customHeight="1" x14ac:dyDescent="0.45">
      <c r="A13" s="29"/>
      <c r="B13" s="8" t="s">
        <v>44</v>
      </c>
      <c r="C13" s="9">
        <v>50</v>
      </c>
      <c r="D13" s="14" t="s">
        <v>108</v>
      </c>
      <c r="E13" s="8">
        <v>50</v>
      </c>
      <c r="F13" s="10" t="s">
        <v>110</v>
      </c>
      <c r="G13" s="8">
        <v>50</v>
      </c>
      <c r="H13" s="10" t="s">
        <v>108</v>
      </c>
      <c r="I13" s="8">
        <v>50</v>
      </c>
      <c r="J13" s="10" t="s">
        <v>140</v>
      </c>
      <c r="K13" s="19">
        <v>65</v>
      </c>
      <c r="L13" s="10" t="s">
        <v>154</v>
      </c>
      <c r="N13" s="10" t="s">
        <v>216</v>
      </c>
      <c r="O13" s="10">
        <v>55</v>
      </c>
      <c r="P13" s="10" t="s">
        <v>264</v>
      </c>
      <c r="Q13" s="26">
        <v>80</v>
      </c>
      <c r="R13" s="10" t="s">
        <v>342</v>
      </c>
      <c r="BK13" s="8">
        <f t="shared" si="0"/>
        <v>57.142857142857146</v>
      </c>
      <c r="BL13" s="11" t="str" cm="1">
        <f t="array" ref="BL13">_xlfn.TEXTJOIN(" ", TRUE, _xlfn._xlws.FILTER(C13:BJ13, MOD(COLUMN(C13:BJ13)-COLUMN(BN13),2)=0))</f>
        <v xml:space="preserve">GOOD IN READING SHOWING INTEREST IN READING SOWING GOOD INTEREST GOOD IN READING SHOWING INTEREST IN READING NEED TO IMPROVE READING ABILITY INTERESTED IN STORY BOOKS CLASS CANCELLED NEED TO IMPROVE CONCENTRACTION PREFER HORROR STORIES TO READ </v>
      </c>
      <c r="BM13" s="8"/>
      <c r="BO13" s="8"/>
      <c r="BQ13" s="8"/>
    </row>
    <row r="14" spans="1:70" ht="14.35" customHeight="1" x14ac:dyDescent="0.45">
      <c r="A14" s="29"/>
      <c r="B14" s="8" t="s">
        <v>45</v>
      </c>
      <c r="C14" s="9"/>
      <c r="D14" s="14"/>
      <c r="E14" s="8"/>
      <c r="I14" s="8"/>
      <c r="BK14" s="8" t="str">
        <f t="shared" si="0"/>
        <v/>
      </c>
      <c r="BL14" s="11" t="str" cm="1">
        <f t="array" ref="BL14">_xlfn.TEXTJOIN(" ", TRUE, _xlfn._xlws.FILTER(C14:BJ14, MOD(COLUMN(C14:BJ14)-COLUMN(BN14),2)=0))</f>
        <v/>
      </c>
      <c r="BM14" s="8"/>
      <c r="BO14" s="8"/>
      <c r="BQ14" s="8"/>
    </row>
    <row r="15" spans="1:70" ht="14.35" customHeight="1" x14ac:dyDescent="0.45">
      <c r="A15" s="29" t="s">
        <v>48</v>
      </c>
      <c r="B15" s="8" t="s">
        <v>40</v>
      </c>
      <c r="C15" s="9"/>
      <c r="D15" s="14"/>
      <c r="E15" s="8"/>
      <c r="I15" s="8"/>
      <c r="K15" s="19">
        <v>74</v>
      </c>
      <c r="L15" s="10" t="s">
        <v>226</v>
      </c>
      <c r="BK15" s="8">
        <f t="shared" si="0"/>
        <v>74</v>
      </c>
      <c r="BL15" s="11" t="str" cm="1">
        <f t="array" ref="BL15">_xlfn.TEXTJOIN(" ", TRUE, _xlfn._xlws.FILTER(C15:BJ15, MOD(COLUMN(C15:BJ15)-COLUMN(BN15),2)=0))</f>
        <v>GOOD IN MATHAMATICS,SOCIAL&amp;SCIENCE</v>
      </c>
      <c r="BM15" s="8"/>
      <c r="BO15" s="8"/>
      <c r="BQ15" s="8"/>
    </row>
    <row r="16" spans="1:70" ht="14.35" customHeight="1" x14ac:dyDescent="0.45">
      <c r="A16" s="29"/>
      <c r="B16" s="8" t="s">
        <v>41</v>
      </c>
      <c r="C16" s="9"/>
      <c r="D16" s="14" t="s">
        <v>80</v>
      </c>
      <c r="E16" s="8">
        <v>25</v>
      </c>
      <c r="F16" s="10" t="s">
        <v>107</v>
      </c>
      <c r="G16" s="8">
        <v>50</v>
      </c>
      <c r="H16" s="10" t="s">
        <v>136</v>
      </c>
      <c r="I16" s="8">
        <v>50</v>
      </c>
      <c r="J16" s="10" t="s">
        <v>136</v>
      </c>
      <c r="K16" s="8">
        <v>75</v>
      </c>
      <c r="L16" s="10" t="s">
        <v>179</v>
      </c>
      <c r="M16" s="19">
        <v>65</v>
      </c>
      <c r="N16" s="10" t="s">
        <v>277</v>
      </c>
      <c r="Q16" s="10">
        <v>50</v>
      </c>
      <c r="R16" s="10" t="s">
        <v>328</v>
      </c>
      <c r="BK16" s="8">
        <f t="shared" si="0"/>
        <v>52.5</v>
      </c>
      <c r="BL16" s="11" t="str" cm="1">
        <f t="array" ref="BL16">_xlfn.TEXTJOIN(" ", TRUE, _xlfn._xlws.FILTER(C16:BJ16, MOD(COLUMN(C16:BJ16)-COLUMN(BN16),2)=0))</f>
        <v>NO CLASS DUE TO HOLIDAY PLAYING WITHOUT ANY AIM PLAYING WELL IN SHUTTLE PLAYING WELL IN SHUTTLE INTERESTED IN CRICKET PLAYING WELL SHORT CRICKET NOT INTERESTED IN PARTICIPATING SPORTS .DO EVEN ATTEND GAMES PERIOD</v>
      </c>
      <c r="BM16" s="8"/>
      <c r="BO16" s="8"/>
      <c r="BQ16" s="8"/>
    </row>
    <row r="17" spans="1:69" ht="14.35" customHeight="1" x14ac:dyDescent="0.45">
      <c r="A17" s="29"/>
      <c r="B17" s="8" t="s">
        <v>42</v>
      </c>
      <c r="C17" s="9"/>
      <c r="D17" s="14" t="s">
        <v>80</v>
      </c>
      <c r="E17" s="8">
        <v>50</v>
      </c>
      <c r="F17" s="10" t="s">
        <v>88</v>
      </c>
      <c r="G17" s="8">
        <v>75</v>
      </c>
      <c r="H17" s="10" t="s">
        <v>137</v>
      </c>
      <c r="I17" s="19">
        <v>65</v>
      </c>
      <c r="J17" s="10" t="s">
        <v>88</v>
      </c>
      <c r="K17" s="8"/>
      <c r="M17" s="19">
        <v>65</v>
      </c>
      <c r="N17" s="10" t="s">
        <v>276</v>
      </c>
      <c r="Q17" s="26">
        <v>80</v>
      </c>
      <c r="R17" s="10" t="s">
        <v>304</v>
      </c>
      <c r="BK17" s="8">
        <f t="shared" si="0"/>
        <v>67</v>
      </c>
      <c r="BL17" s="11" t="str" cm="1">
        <f t="array" ref="BL17">_xlfn.TEXTJOIN(" ", TRUE, _xlfn._xlws.FILTER(C17:BJ17, MOD(COLUMN(C17:BJ17)-COLUMN(BN17),2)=0))</f>
        <v>NO CLASS DUE TO HOLIDAY PERFORMING WELL NEED MOTIVATION,CAN IMPROVE SHOWING INTEREST NEED PRACTICE PERFORMING WELL NEED MOTIVATION,CAN IMPROVE PERFORMING WELL NEED MORE PRACTICE KNOWS BASIC SKILLS LIKE DRAWING &amp;TYPING</v>
      </c>
      <c r="BM17" s="8"/>
      <c r="BO17" s="8"/>
      <c r="BQ17" s="8"/>
    </row>
    <row r="18" spans="1:69" ht="14.35" customHeight="1" x14ac:dyDescent="0.45">
      <c r="A18" s="29"/>
      <c r="B18" s="8" t="s">
        <v>43</v>
      </c>
      <c r="C18" s="9">
        <v>25</v>
      </c>
      <c r="D18" s="14" t="s">
        <v>96</v>
      </c>
      <c r="E18" s="16">
        <v>50</v>
      </c>
      <c r="F18" s="10" t="s">
        <v>109</v>
      </c>
      <c r="G18" s="16">
        <v>65</v>
      </c>
      <c r="H18" s="10" t="s">
        <v>81</v>
      </c>
      <c r="I18" s="8">
        <v>75</v>
      </c>
      <c r="J18" s="10" t="s">
        <v>129</v>
      </c>
      <c r="K18" s="8">
        <v>75</v>
      </c>
      <c r="L18" s="10" t="s">
        <v>184</v>
      </c>
      <c r="M18" s="10">
        <v>25</v>
      </c>
      <c r="N18" s="10" t="s">
        <v>232</v>
      </c>
      <c r="O18" s="19">
        <v>65</v>
      </c>
      <c r="P18" s="10" t="s">
        <v>281</v>
      </c>
      <c r="Q18" s="26">
        <v>80</v>
      </c>
      <c r="R18" s="10" t="s">
        <v>295</v>
      </c>
      <c r="BK18" s="8">
        <f t="shared" si="0"/>
        <v>57.5</v>
      </c>
      <c r="BL18" s="11" t="str" cm="1">
        <f t="array" ref="BL18">_xlfn.TEXTJOIN(" ", TRUE, _xlfn._xlws.FILTER(C18:BJ18, MOD(COLUMN(C18:BJ18)-COLUMN(BN18),2)=0))</f>
        <v>NEUTRAL PARTICIPATION IN CLASS FINISHING IS GOOD NEEAT FINISHING CAN IMPROVE DOING GOOD AND CREATIVELY AND DRAWING THE FIGURE EXACTLY,  INTREST LY  DRAWING  INTERSTED IN ANIME DRAWINGS NOT FEELING WELL NEED TO FOCUS ON FOUNDATION SKILLS SHOWING WILLINGNESS IN DRAWING</v>
      </c>
      <c r="BM18" s="8"/>
      <c r="BO18" s="8"/>
      <c r="BQ18" s="8"/>
    </row>
    <row r="19" spans="1:69" ht="14.35" customHeight="1" x14ac:dyDescent="0.45">
      <c r="A19" s="29"/>
      <c r="B19" s="8" t="s">
        <v>44</v>
      </c>
      <c r="C19" s="9">
        <v>50</v>
      </c>
      <c r="D19" s="14" t="s">
        <v>108</v>
      </c>
      <c r="E19" s="8">
        <v>50</v>
      </c>
      <c r="F19" s="10" t="s">
        <v>111</v>
      </c>
      <c r="G19" s="8">
        <v>50</v>
      </c>
      <c r="H19" s="10" t="s">
        <v>140</v>
      </c>
      <c r="I19" s="8">
        <v>50</v>
      </c>
      <c r="J19" s="10" t="s">
        <v>141</v>
      </c>
      <c r="K19" s="19">
        <v>65</v>
      </c>
      <c r="L19" s="10" t="s">
        <v>185</v>
      </c>
      <c r="N19" s="10" t="s">
        <v>216</v>
      </c>
      <c r="O19" s="10">
        <v>55</v>
      </c>
      <c r="P19" s="10" t="s">
        <v>265</v>
      </c>
      <c r="Q19" s="26">
        <v>80</v>
      </c>
      <c r="R19" s="10" t="s">
        <v>327</v>
      </c>
      <c r="BK19" s="8">
        <f t="shared" si="0"/>
        <v>57.142857142857146</v>
      </c>
      <c r="BL19" s="11" t="str" cm="1">
        <f t="array" ref="BL19">_xlfn.TEXTJOIN(" ", TRUE, _xlfn._xlws.FILTER(C19:BJ19, MOD(COLUMN(C19:BJ19)-COLUMN(BN19),2)=0))</f>
        <v xml:space="preserve">GOOD IN READING SHOWING INTEREST IN READING GOOD AND UNDERSTANDING THE CONCEPT NEED TO IMPROVE READING ABILITY SHOWING INTEREST IN READING INTERSTED IN STORY BOOKS CLASS CANCELLED AVERAGE PATINCE PREFER MORAL STORIES TO READ </v>
      </c>
      <c r="BM19" s="8"/>
      <c r="BO19" s="8"/>
      <c r="BQ19" s="8"/>
    </row>
    <row r="20" spans="1:69" ht="14.35" customHeight="1" x14ac:dyDescent="0.45">
      <c r="A20" s="29"/>
      <c r="B20" s="8" t="s">
        <v>45</v>
      </c>
      <c r="C20" s="9"/>
      <c r="D20" s="14"/>
      <c r="E20" s="8"/>
      <c r="I20" s="8"/>
      <c r="BK20" s="8" t="str">
        <f t="shared" si="0"/>
        <v/>
      </c>
      <c r="BL20" s="11" t="str" cm="1">
        <f t="array" ref="BL20">_xlfn.TEXTJOIN(" ", TRUE, _xlfn._xlws.FILTER(C20:BJ20, MOD(COLUMN(C20:BJ20)-COLUMN(BN20),2)=0))</f>
        <v/>
      </c>
      <c r="BM20" s="8"/>
      <c r="BO20" s="8"/>
      <c r="BQ20" s="8"/>
    </row>
    <row r="21" spans="1:69" ht="14.35" customHeight="1" x14ac:dyDescent="0.45">
      <c r="A21" s="29" t="s">
        <v>49</v>
      </c>
      <c r="B21" s="8" t="s">
        <v>40</v>
      </c>
      <c r="C21" s="9"/>
      <c r="D21" s="14"/>
      <c r="E21" s="8"/>
      <c r="I21" s="8"/>
      <c r="K21" s="8">
        <v>48</v>
      </c>
      <c r="L21" s="10" t="s">
        <v>227</v>
      </c>
      <c r="BK21" s="8">
        <f t="shared" si="0"/>
        <v>48</v>
      </c>
      <c r="BL21" s="11" t="str" cm="1">
        <f t="array" ref="BL21">_xlfn.TEXTJOIN(" ", TRUE, _xlfn._xlws.FILTER(C21:BJ21, MOD(COLUMN(C21:BJ21)-COLUMN(BN21),2)=0))</f>
        <v>GOOD IN SCIENCE&amp;SOCIAL</v>
      </c>
      <c r="BM21" s="8"/>
      <c r="BO21" s="8"/>
      <c r="BQ21" s="8"/>
    </row>
    <row r="22" spans="1:69" ht="14.35" customHeight="1" x14ac:dyDescent="0.45">
      <c r="A22" s="29"/>
      <c r="B22" s="8" t="s">
        <v>41</v>
      </c>
      <c r="C22" s="9"/>
      <c r="D22" s="14" t="s">
        <v>80</v>
      </c>
      <c r="E22" s="8">
        <v>25</v>
      </c>
      <c r="F22" s="10" t="s">
        <v>107</v>
      </c>
      <c r="G22" s="8">
        <v>50</v>
      </c>
      <c r="H22" s="10" t="s">
        <v>136</v>
      </c>
      <c r="I22" s="8">
        <v>50</v>
      </c>
      <c r="J22" s="10" t="s">
        <v>136</v>
      </c>
      <c r="K22" s="8">
        <v>75</v>
      </c>
      <c r="L22" s="10" t="s">
        <v>204</v>
      </c>
      <c r="M22" s="19">
        <v>65</v>
      </c>
      <c r="N22" s="10" t="s">
        <v>277</v>
      </c>
      <c r="Q22" s="27">
        <v>90</v>
      </c>
      <c r="R22" s="10" t="s">
        <v>318</v>
      </c>
      <c r="BK22" s="8">
        <f t="shared" si="0"/>
        <v>59.166666666666664</v>
      </c>
      <c r="BL22" s="11" t="str" cm="1">
        <f t="array" ref="BL22">_xlfn.TEXTJOIN(" ", TRUE, _xlfn._xlws.FILTER(C22:BJ22, MOD(COLUMN(C22:BJ22)-COLUMN(BN22),2)=0))</f>
        <v>NO CLASS DUE TO HOLIDAY PLAYING WITHOUT ANY AIM PLAYING WELL IN SHUTTLE PLAYING WELL IN SHUTTLE INTERESTED IN FOOD BALL PLAYING WELL SHORT CRICKET INTERESTED IN FOOTBALL&amp;CRICKET ,PERFER BATTING IN CRICKET</v>
      </c>
      <c r="BM22" s="8"/>
      <c r="BO22" s="8"/>
      <c r="BQ22" s="8"/>
    </row>
    <row r="23" spans="1:69" ht="14.35" customHeight="1" x14ac:dyDescent="0.45">
      <c r="A23" s="29"/>
      <c r="B23" s="8" t="s">
        <v>42</v>
      </c>
      <c r="C23" s="9"/>
      <c r="D23" s="14" t="s">
        <v>80</v>
      </c>
      <c r="E23" s="8">
        <v>50</v>
      </c>
      <c r="F23" s="10" t="s">
        <v>88</v>
      </c>
      <c r="G23" s="8">
        <v>75</v>
      </c>
      <c r="H23" s="10" t="s">
        <v>137</v>
      </c>
      <c r="I23" s="19">
        <v>65</v>
      </c>
      <c r="J23" s="10" t="s">
        <v>88</v>
      </c>
      <c r="K23" s="19">
        <v>65</v>
      </c>
      <c r="L23" s="10" t="s">
        <v>208</v>
      </c>
      <c r="M23" s="19">
        <v>65</v>
      </c>
      <c r="N23" s="10" t="s">
        <v>276</v>
      </c>
      <c r="Q23" s="26">
        <v>80</v>
      </c>
      <c r="R23" s="10" t="s">
        <v>304</v>
      </c>
      <c r="BK23" s="8">
        <f t="shared" si="0"/>
        <v>66.666666666666671</v>
      </c>
      <c r="BL23" s="11" t="str" cm="1">
        <f t="array" ref="BL23">_xlfn.TEXTJOIN(" ", TRUE, _xlfn._xlws.FILTER(C23:BJ23, MOD(COLUMN(C23:BJ23)-COLUMN(BN23),2)=0))</f>
        <v>NO CLASS DUE TO HOLIDAY PERFORMING WELL NEED MOTIVATION,CAN IMPROVE SHOWING INTEREST NEED PRACTICE PERFORMING WELL NEED MOTIVATION,CAN IMPROVE INTERETSED IN TYPING PERFORMING WELL NEED MORE PRACTICE KNOWS BASIC SKILLS LIKE DRAWING &amp;TYPING</v>
      </c>
      <c r="BM23" s="8"/>
      <c r="BO23" s="8"/>
      <c r="BQ23" s="8"/>
    </row>
    <row r="24" spans="1:69" ht="14.35" customHeight="1" x14ac:dyDescent="0.45">
      <c r="A24" s="29"/>
      <c r="B24" s="8" t="s">
        <v>43</v>
      </c>
      <c r="C24" s="9" t="s">
        <v>79</v>
      </c>
      <c r="D24" s="14" t="s">
        <v>79</v>
      </c>
      <c r="E24" s="8">
        <v>50</v>
      </c>
      <c r="F24" s="10" t="s">
        <v>89</v>
      </c>
      <c r="G24" s="8">
        <v>50</v>
      </c>
      <c r="H24" s="10" t="s">
        <v>89</v>
      </c>
      <c r="I24" s="8" t="s">
        <v>79</v>
      </c>
      <c r="J24" s="10" t="s">
        <v>131</v>
      </c>
      <c r="K24" s="8"/>
      <c r="M24" s="10" t="s">
        <v>79</v>
      </c>
      <c r="N24" s="10" t="s">
        <v>79</v>
      </c>
      <c r="O24" s="19">
        <v>65</v>
      </c>
      <c r="P24" s="10" t="s">
        <v>287</v>
      </c>
      <c r="Q24" s="26">
        <v>80</v>
      </c>
      <c r="R24" s="10" t="s">
        <v>295</v>
      </c>
      <c r="BK24" s="8">
        <f t="shared" si="0"/>
        <v>61.25</v>
      </c>
      <c r="BL24" s="11" t="str" cm="1">
        <f t="array" ref="BL24">_xlfn.TEXTJOIN(" ", TRUE, _xlfn._xlws.FILTER(C24:BJ24, MOD(COLUMN(C24:BJ24)-COLUMN(BN24),2)=0))</f>
        <v>AB AVERAGE PARTICIPATION AVERAGE PARTICIPATION ABSENT AB NEED TOPAY ATTENTION IN THE CLASS SHOWING WILLINGNESS IN DRAWING</v>
      </c>
      <c r="BM24" s="8"/>
      <c r="BO24" s="8"/>
      <c r="BQ24" s="8"/>
    </row>
    <row r="25" spans="1:69" ht="14.35" customHeight="1" x14ac:dyDescent="0.45">
      <c r="A25" s="29"/>
      <c r="B25" s="8" t="s">
        <v>44</v>
      </c>
      <c r="C25" s="9">
        <v>50</v>
      </c>
      <c r="D25" s="14" t="s">
        <v>108</v>
      </c>
      <c r="E25" s="8">
        <v>50</v>
      </c>
      <c r="F25" s="10" t="s">
        <v>112</v>
      </c>
      <c r="G25" s="8">
        <v>50</v>
      </c>
      <c r="H25" s="10" t="s">
        <v>142</v>
      </c>
      <c r="I25" s="8">
        <v>50</v>
      </c>
      <c r="J25" s="10" t="s">
        <v>138</v>
      </c>
      <c r="K25" s="8"/>
      <c r="N25" s="10" t="s">
        <v>216</v>
      </c>
      <c r="O25" s="10" t="s">
        <v>79</v>
      </c>
      <c r="P25" s="10" t="s">
        <v>79</v>
      </c>
      <c r="Q25" s="27">
        <v>90</v>
      </c>
      <c r="R25" s="10" t="s">
        <v>319</v>
      </c>
      <c r="BK25" s="8">
        <f t="shared" si="0"/>
        <v>58</v>
      </c>
      <c r="BL25" s="11" t="str" cm="1">
        <f t="array" ref="BL25">_xlfn.TEXTJOIN(" ", TRUE, _xlfn._xlws.FILTER(C25:BJ25, MOD(COLUMN(C25:BJ25)-COLUMN(BN25),2)=0))</f>
        <v>GOOD IN READING SHOWING INTEREST IN READING GOOD IN READING NEEDTO IMPROVE VOCABULARY FEELING DIFFICULT TO READ HARD WORDS CLASS CANCELLED AB PREFER TO READ COMIC BOOKS HAVE A HABIT OF READING BOOKS AT HOME ALSO</v>
      </c>
      <c r="BM25" s="8"/>
      <c r="BO25" s="8"/>
      <c r="BQ25" s="8"/>
    </row>
    <row r="26" spans="1:69" ht="14.35" customHeight="1" x14ac:dyDescent="0.45">
      <c r="A26" s="29"/>
      <c r="B26" s="8" t="s">
        <v>45</v>
      </c>
      <c r="C26" s="9"/>
      <c r="D26" s="14"/>
      <c r="E26" s="8"/>
      <c r="I26" s="8"/>
      <c r="BK26" s="8" t="str">
        <f t="shared" si="0"/>
        <v/>
      </c>
      <c r="BL26" s="11" t="str" cm="1">
        <f t="array" ref="BL26">_xlfn.TEXTJOIN(" ", TRUE, _xlfn._xlws.FILTER(C26:BJ26, MOD(COLUMN(C26:BJ26)-COLUMN(BN26),2)=0))</f>
        <v/>
      </c>
      <c r="BM26" s="8"/>
      <c r="BO26" s="8"/>
      <c r="BQ26" s="8"/>
    </row>
    <row r="27" spans="1:69" ht="14.35" customHeight="1" x14ac:dyDescent="0.45">
      <c r="A27" s="29" t="s">
        <v>50</v>
      </c>
      <c r="B27" s="8" t="s">
        <v>40</v>
      </c>
      <c r="C27" s="9"/>
      <c r="D27" s="14"/>
      <c r="E27" s="8"/>
      <c r="I27" s="8"/>
      <c r="K27" s="19">
        <v>52</v>
      </c>
      <c r="L27" s="10" t="s">
        <v>224</v>
      </c>
      <c r="BK27" s="8">
        <f t="shared" si="0"/>
        <v>52</v>
      </c>
      <c r="BL27" s="11" t="str" cm="1">
        <f t="array" ref="BL27">_xlfn.TEXTJOIN(" ", TRUE, _xlfn._xlws.FILTER(C27:BJ27, MOD(COLUMN(C27:BJ27)-COLUMN(BN27),2)=0))</f>
        <v>INTERESTED IN ENGLISH &amp;MATHAMATICS</v>
      </c>
      <c r="BM27" s="8"/>
      <c r="BO27" s="8"/>
      <c r="BQ27" s="8"/>
    </row>
    <row r="28" spans="1:69" ht="14.35" customHeight="1" x14ac:dyDescent="0.45">
      <c r="A28" s="29"/>
      <c r="B28" s="8" t="s">
        <v>41</v>
      </c>
      <c r="C28" s="9"/>
      <c r="D28" s="14" t="s">
        <v>80</v>
      </c>
      <c r="E28" s="8">
        <v>25</v>
      </c>
      <c r="F28" s="10" t="s">
        <v>107</v>
      </c>
      <c r="G28" s="8">
        <v>50</v>
      </c>
      <c r="H28" s="10" t="s">
        <v>136</v>
      </c>
      <c r="I28" s="8">
        <v>50</v>
      </c>
      <c r="J28" s="10" t="s">
        <v>136</v>
      </c>
      <c r="K28" s="8">
        <v>75</v>
      </c>
      <c r="L28" s="10" t="s">
        <v>179</v>
      </c>
      <c r="M28" s="19">
        <v>65</v>
      </c>
      <c r="N28" s="10" t="s">
        <v>277</v>
      </c>
      <c r="Q28" s="26">
        <v>80</v>
      </c>
      <c r="R28" s="10" t="s">
        <v>343</v>
      </c>
      <c r="BK28" s="8">
        <f t="shared" si="0"/>
        <v>57.5</v>
      </c>
      <c r="BL28" s="11" t="str" cm="1">
        <f t="array" ref="BL28">_xlfn.TEXTJOIN(" ", TRUE, _xlfn._xlws.FILTER(C28:BJ28, MOD(COLUMN(C28:BJ28)-COLUMN(BN28),2)=0))</f>
        <v>NO CLASS DUE TO HOLIDAY PLAYING WITHOUT ANY AIM PLAYING WELL IN SHUTTLE PLAYING WELL IN SHUTTLE INTERESTED IN CRICKET PLAYING WELL SHORT CRICKET INTERESTED IN CRICKET BATTING&amp;BOWLING</v>
      </c>
      <c r="BM28" s="8"/>
      <c r="BO28" s="8"/>
      <c r="BQ28" s="8"/>
    </row>
    <row r="29" spans="1:69" ht="14.35" customHeight="1" x14ac:dyDescent="0.45">
      <c r="A29" s="29"/>
      <c r="B29" s="8" t="s">
        <v>42</v>
      </c>
      <c r="C29" s="9"/>
      <c r="D29" s="14" t="s">
        <v>80</v>
      </c>
      <c r="E29" s="8">
        <v>50</v>
      </c>
      <c r="F29" s="10" t="s">
        <v>88</v>
      </c>
      <c r="G29" s="8">
        <v>75</v>
      </c>
      <c r="H29" s="10" t="s">
        <v>137</v>
      </c>
      <c r="I29" s="19">
        <v>65</v>
      </c>
      <c r="J29" s="10" t="s">
        <v>88</v>
      </c>
      <c r="K29" s="8"/>
      <c r="M29" s="19">
        <v>65</v>
      </c>
      <c r="N29" s="10" t="s">
        <v>276</v>
      </c>
      <c r="Q29" s="26">
        <v>80</v>
      </c>
      <c r="R29" s="10" t="s">
        <v>304</v>
      </c>
      <c r="BK29" s="8">
        <f t="shared" si="0"/>
        <v>67</v>
      </c>
      <c r="BL29" s="11" t="str" cm="1">
        <f t="array" ref="BL29">_xlfn.TEXTJOIN(" ", TRUE, _xlfn._xlws.FILTER(C29:BJ29, MOD(COLUMN(C29:BJ29)-COLUMN(BN29),2)=0))</f>
        <v>NO CLASS DUE TO HOLIDAY PERFORMING WELL NEED MOTIVATION,CAN IMPROVE SHOWING INTEREST NEED PRACTICE PERFORMING WELL NEED MOTIVATION,CAN IMPROVE PERFORMING WELL NEED MORE PRACTICE KNOWS BASIC SKILLS LIKE DRAWING &amp;TYPING</v>
      </c>
      <c r="BM29" s="8"/>
      <c r="BO29" s="8"/>
      <c r="BQ29" s="8"/>
    </row>
    <row r="30" spans="1:69" ht="14.35" customHeight="1" x14ac:dyDescent="0.45">
      <c r="A30" s="29"/>
      <c r="B30" s="8" t="s">
        <v>43</v>
      </c>
      <c r="C30" s="9">
        <v>25</v>
      </c>
      <c r="D30" s="14" t="s">
        <v>96</v>
      </c>
      <c r="E30" s="8">
        <v>50</v>
      </c>
      <c r="F30" s="10" t="s">
        <v>89</v>
      </c>
      <c r="G30" s="8">
        <v>50</v>
      </c>
      <c r="H30" s="10" t="s">
        <v>89</v>
      </c>
      <c r="I30" s="8">
        <v>50</v>
      </c>
      <c r="J30" s="10" t="s">
        <v>132</v>
      </c>
      <c r="K30" s="8">
        <v>75</v>
      </c>
      <c r="L30" s="10" t="s">
        <v>203</v>
      </c>
      <c r="M30" s="10" t="s">
        <v>79</v>
      </c>
      <c r="N30" s="10" t="s">
        <v>79</v>
      </c>
      <c r="O30" s="24">
        <v>60</v>
      </c>
      <c r="P30" s="10" t="s">
        <v>288</v>
      </c>
      <c r="Q30" s="26">
        <v>80</v>
      </c>
      <c r="R30" s="10" t="s">
        <v>295</v>
      </c>
      <c r="BK30" s="8">
        <f t="shared" si="0"/>
        <v>55.714285714285715</v>
      </c>
      <c r="BL30" s="11" t="str" cm="1">
        <f t="array" ref="BL30">_xlfn.TEXTJOIN(" ", TRUE, _xlfn._xlws.FILTER(C30:BJ30, MOD(COLUMN(C30:BJ30)-COLUMN(BN30),2)=0))</f>
        <v>NEUTRAL PARTICIPATION IN CLASS AVERAGE PARTICIPATION AVERAGE PARTICIPATION AVERAGE INTERESTED IN ANIME DRAWINGS AB NEED TO PRACTICE BY FOLLOWING THE PROPER MEASUREMENTS SHOWING WILLINGNESS IN DRAWING</v>
      </c>
      <c r="BM30" s="8"/>
      <c r="BO30" s="8"/>
      <c r="BQ30" s="8"/>
    </row>
    <row r="31" spans="1:69" ht="14.35" customHeight="1" x14ac:dyDescent="0.45">
      <c r="A31" s="29"/>
      <c r="B31" s="8" t="s">
        <v>44</v>
      </c>
      <c r="C31" s="9">
        <v>50</v>
      </c>
      <c r="D31" s="14" t="s">
        <v>108</v>
      </c>
      <c r="E31" s="8">
        <v>50</v>
      </c>
      <c r="F31" s="10" t="s">
        <v>113</v>
      </c>
      <c r="G31" s="8">
        <v>50</v>
      </c>
      <c r="H31" s="10" t="s">
        <v>140</v>
      </c>
      <c r="I31" s="8">
        <v>50</v>
      </c>
      <c r="J31" s="10" t="s">
        <v>143</v>
      </c>
      <c r="K31" s="8"/>
      <c r="N31" s="10" t="s">
        <v>216</v>
      </c>
      <c r="O31" s="10">
        <v>60</v>
      </c>
      <c r="P31" s="10" t="s">
        <v>266</v>
      </c>
      <c r="Q31" s="26">
        <v>80</v>
      </c>
      <c r="R31" s="10" t="s">
        <v>321</v>
      </c>
      <c r="BK31" s="8">
        <f t="shared" si="0"/>
        <v>56.666666666666664</v>
      </c>
      <c r="BL31" s="11" t="str" cm="1">
        <f t="array" ref="BL31">_xlfn.TEXTJOIN(" ", TRUE, _xlfn._xlws.FILTER(C31:BJ31, MOD(COLUMN(C31:BJ31)-COLUMN(BN31),2)=0))</f>
        <v>GOOD IN READING SHOWING INTEREST IN READING SHOWING SOME INTEREST NEED TO IMPROVE READING ABILITY NEED TO PAY ATTENTION IN THE CLASS CLASS CANCELLED  NEED TO PAY ATTENTION PREFER ALL KIND OF BOOKS TO READ</v>
      </c>
      <c r="BM31" s="8"/>
      <c r="BO31" s="8"/>
      <c r="BQ31" s="8"/>
    </row>
    <row r="32" spans="1:69" ht="14.35" customHeight="1" x14ac:dyDescent="0.45">
      <c r="A32" s="29"/>
      <c r="B32" s="8" t="s">
        <v>45</v>
      </c>
      <c r="C32" s="9"/>
      <c r="D32" s="14"/>
      <c r="E32" s="8"/>
      <c r="I32" s="8"/>
      <c r="BK32" s="8" t="str">
        <f t="shared" si="0"/>
        <v/>
      </c>
      <c r="BL32" s="11" t="str" cm="1">
        <f t="array" ref="BL32">_xlfn.TEXTJOIN(" ", TRUE, _xlfn._xlws.FILTER(C32:BJ32, MOD(COLUMN(C32:BJ32)-COLUMN(BN32),2)=0))</f>
        <v/>
      </c>
      <c r="BM32" s="8"/>
      <c r="BO32" s="8"/>
      <c r="BQ32" s="8"/>
    </row>
    <row r="33" spans="1:69" ht="14.35" customHeight="1" x14ac:dyDescent="0.45">
      <c r="A33" s="29" t="s">
        <v>51</v>
      </c>
      <c r="B33" s="8" t="s">
        <v>40</v>
      </c>
      <c r="C33" s="9"/>
      <c r="D33" s="14"/>
      <c r="E33" s="8"/>
      <c r="I33" s="8"/>
      <c r="K33" s="8">
        <v>39</v>
      </c>
      <c r="L33" s="10" t="s">
        <v>229</v>
      </c>
      <c r="BK33" s="8">
        <f t="shared" si="0"/>
        <v>39</v>
      </c>
      <c r="BL33" s="11" t="str" cm="1">
        <f t="array" ref="BL33">_xlfn.TEXTJOIN(" ", TRUE, _xlfn._xlws.FILTER(C33:BJ33, MOD(COLUMN(C33:BJ33)-COLUMN(BN33),2)=0))</f>
        <v>INTERESTED IN URDU ,SOCIAL&amp;</v>
      </c>
      <c r="BM33" s="8"/>
      <c r="BO33" s="8"/>
      <c r="BQ33" s="8"/>
    </row>
    <row r="34" spans="1:69" ht="14.35" customHeight="1" x14ac:dyDescent="0.45">
      <c r="A34" s="29"/>
      <c r="B34" s="8" t="s">
        <v>41</v>
      </c>
      <c r="C34" s="9"/>
      <c r="D34" s="14" t="s">
        <v>80</v>
      </c>
      <c r="E34" s="8">
        <v>25</v>
      </c>
      <c r="F34" s="10" t="s">
        <v>107</v>
      </c>
      <c r="G34" s="8">
        <v>50</v>
      </c>
      <c r="H34" s="10" t="s">
        <v>136</v>
      </c>
      <c r="I34" s="8">
        <v>50</v>
      </c>
      <c r="J34" s="10" t="s">
        <v>136</v>
      </c>
      <c r="K34" s="19">
        <v>65</v>
      </c>
      <c r="L34" s="10" t="s">
        <v>178</v>
      </c>
      <c r="M34" s="19">
        <v>65</v>
      </c>
      <c r="N34" s="10" t="s">
        <v>277</v>
      </c>
      <c r="Q34" s="25">
        <v>85</v>
      </c>
      <c r="R34" s="10" t="s">
        <v>320</v>
      </c>
      <c r="BK34" s="8">
        <f t="shared" si="0"/>
        <v>56.666666666666664</v>
      </c>
      <c r="BL34" s="11" t="str" cm="1">
        <f t="array" ref="BL34">_xlfn.TEXTJOIN(" ", TRUE, _xlfn._xlws.FILTER(C34:BJ34, MOD(COLUMN(C34:BJ34)-COLUMN(BN34),2)=0))</f>
        <v>NO CLASS DUE TO HOLIDAY PLAYING WITHOUT ANY AIM PLAYING WELL IN SHUTTLE PLAYING WELL IN SHUTTLE INTERSTED IN CRICKET PLAYING WELL SHORT CRICKET INTERESTED IN FOOTBALL,VOLLEYBALL</v>
      </c>
      <c r="BM34" s="8"/>
      <c r="BO34" s="8"/>
      <c r="BQ34" s="8"/>
    </row>
    <row r="35" spans="1:69" ht="14.35" customHeight="1" x14ac:dyDescent="0.45">
      <c r="A35" s="29"/>
      <c r="B35" s="8" t="s">
        <v>42</v>
      </c>
      <c r="C35" s="9"/>
      <c r="D35" s="14" t="s">
        <v>80</v>
      </c>
      <c r="E35" s="8">
        <v>50</v>
      </c>
      <c r="F35" s="10" t="s">
        <v>88</v>
      </c>
      <c r="G35" s="8">
        <v>75</v>
      </c>
      <c r="H35" s="10" t="s">
        <v>137</v>
      </c>
      <c r="I35" s="19">
        <v>65</v>
      </c>
      <c r="J35" s="10" t="s">
        <v>88</v>
      </c>
      <c r="K35" s="8"/>
      <c r="M35" s="19">
        <v>65</v>
      </c>
      <c r="N35" s="10" t="s">
        <v>276</v>
      </c>
      <c r="Q35" s="26">
        <v>80</v>
      </c>
      <c r="R35" s="10" t="s">
        <v>304</v>
      </c>
      <c r="BK35" s="8">
        <f t="shared" si="0"/>
        <v>67</v>
      </c>
      <c r="BL35" s="11" t="str" cm="1">
        <f t="array" ref="BL35">_xlfn.TEXTJOIN(" ", TRUE, _xlfn._xlws.FILTER(C35:BJ35, MOD(COLUMN(C35:BJ35)-COLUMN(BN35),2)=0))</f>
        <v>NO CLASS DUE TO HOLIDAY PERFORMING WELL NEED MOTIVATION,CAN IMPROVE SHOWING INTEREST NEED PRACTICE PERFORMING WELL NEED MOTIVATION,CAN IMPROVE PERFORMING WELL NEED MORE PRACTICE KNOWS BASIC SKILLS LIKE DRAWING &amp;TYPING</v>
      </c>
      <c r="BM35" s="8"/>
      <c r="BO35" s="8"/>
      <c r="BQ35" s="8"/>
    </row>
    <row r="36" spans="1:69" ht="14.35" customHeight="1" x14ac:dyDescent="0.45">
      <c r="A36" s="29"/>
      <c r="B36" s="8" t="s">
        <v>43</v>
      </c>
      <c r="C36" s="9">
        <v>25</v>
      </c>
      <c r="D36" s="14" t="s">
        <v>96</v>
      </c>
      <c r="E36" s="8">
        <v>50</v>
      </c>
      <c r="F36" s="10" t="s">
        <v>89</v>
      </c>
      <c r="G36" s="8">
        <v>50</v>
      </c>
      <c r="H36" s="10" t="s">
        <v>89</v>
      </c>
      <c r="I36" s="8" t="s">
        <v>79</v>
      </c>
      <c r="J36" s="10" t="s">
        <v>131</v>
      </c>
      <c r="K36" s="8"/>
      <c r="M36" s="10">
        <v>60</v>
      </c>
      <c r="N36" s="10" t="s">
        <v>93</v>
      </c>
      <c r="O36" s="19">
        <v>65</v>
      </c>
      <c r="P36" s="10" t="s">
        <v>289</v>
      </c>
      <c r="Q36" s="26">
        <v>80</v>
      </c>
      <c r="R36" s="10" t="s">
        <v>295</v>
      </c>
      <c r="BK36" s="8">
        <f t="shared" si="0"/>
        <v>55</v>
      </c>
      <c r="BL36" s="11" t="str" cm="1">
        <f t="array" ref="BL36">_xlfn.TEXTJOIN(" ", TRUE, _xlfn._xlws.FILTER(C36:BJ36, MOD(COLUMN(C36:BJ36)-COLUMN(BN36),2)=0))</f>
        <v>NEUTRAL PARTICIPATION IN CLASS AVERAGE PARTICIPATION AVERAGE PARTICIPATION ABSENT NEED TO REFINE THE FIGURE SHOWING PROGRESS IN DRAWING CAN IMPROVE SHOWING WILLINGNESS IN DRAWING</v>
      </c>
      <c r="BM36" s="8"/>
      <c r="BO36" s="8"/>
      <c r="BQ36" s="8"/>
    </row>
    <row r="37" spans="1:69" ht="14.35" customHeight="1" x14ac:dyDescent="0.45">
      <c r="A37" s="29"/>
      <c r="B37" s="8" t="s">
        <v>44</v>
      </c>
      <c r="C37" s="9">
        <v>50</v>
      </c>
      <c r="D37" s="14" t="s">
        <v>108</v>
      </c>
      <c r="E37" s="8">
        <v>50</v>
      </c>
      <c r="F37" s="10" t="s">
        <v>114</v>
      </c>
      <c r="G37" s="20">
        <v>35</v>
      </c>
      <c r="H37" s="10" t="s">
        <v>144</v>
      </c>
      <c r="I37" s="8">
        <v>25</v>
      </c>
      <c r="J37" s="10" t="s">
        <v>125</v>
      </c>
      <c r="K37" s="8"/>
      <c r="N37" s="10" t="s">
        <v>216</v>
      </c>
      <c r="O37" s="10">
        <v>40</v>
      </c>
      <c r="P37" s="10" t="s">
        <v>125</v>
      </c>
      <c r="Q37" s="26">
        <v>80</v>
      </c>
      <c r="R37" s="10" t="s">
        <v>315</v>
      </c>
      <c r="BK37" s="8">
        <f t="shared" si="0"/>
        <v>46.666666666666664</v>
      </c>
      <c r="BL37" s="11" t="str" cm="1">
        <f t="array" ref="BL37">_xlfn.TEXTJOIN(" ", TRUE, _xlfn._xlws.FILTER(C37:BJ37, MOD(COLUMN(C37:BJ37)-COLUMN(BN37),2)=0))</f>
        <v>GOOD IN READING SHOWING INTEREST IN READING TRYING TO UNDERSTAND THE STORY JUST LOOKING AT THE PICTURES NEUTRAL PERFORMANCE CLASS CANCELLED NEUTRAL PERFORMANCE PREFER HORROR STORIES TO READ</v>
      </c>
      <c r="BM37" s="8"/>
      <c r="BO37" s="8"/>
      <c r="BQ37" s="8"/>
    </row>
    <row r="38" spans="1:69" ht="14.35" customHeight="1" x14ac:dyDescent="0.45">
      <c r="A38" s="29"/>
      <c r="B38" s="8" t="s">
        <v>45</v>
      </c>
      <c r="C38" s="9"/>
      <c r="D38" s="14"/>
      <c r="E38" s="8"/>
      <c r="I38" s="8"/>
      <c r="BK38" s="8" t="str">
        <f t="shared" si="0"/>
        <v/>
      </c>
      <c r="BL38" s="11" t="str" cm="1">
        <f t="array" ref="BL38">_xlfn.TEXTJOIN(" ", TRUE, _xlfn._xlws.FILTER(C38:BJ38, MOD(COLUMN(C38:BJ38)-COLUMN(BN38),2)=0))</f>
        <v/>
      </c>
      <c r="BM38" s="8"/>
      <c r="BO38" s="8"/>
      <c r="BQ38" s="8"/>
    </row>
    <row r="39" spans="1:69" ht="14.35" customHeight="1" x14ac:dyDescent="0.45">
      <c r="A39" s="29" t="s">
        <v>52</v>
      </c>
      <c r="B39" s="8" t="s">
        <v>40</v>
      </c>
      <c r="D39" s="15"/>
      <c r="G39" s="10"/>
      <c r="I39" s="8"/>
      <c r="K39" s="8">
        <v>77</v>
      </c>
      <c r="L39" s="10" t="s">
        <v>200</v>
      </c>
      <c r="BK39" s="8">
        <f t="shared" si="0"/>
        <v>77</v>
      </c>
      <c r="BL39" s="11" t="str" cm="1">
        <f t="array" ref="BL39">_xlfn.TEXTJOIN(" ", TRUE, _xlfn._xlws.FILTER(C39:BJ39, MOD(COLUMN(C39:BJ39)-COLUMN(BN39),2)=0))</f>
        <v>INTERESTED IN SOCIAL ESPECIALLY IN MAPS</v>
      </c>
      <c r="BO39" s="8"/>
    </row>
    <row r="40" spans="1:69" ht="14.35" customHeight="1" x14ac:dyDescent="0.45">
      <c r="A40" s="29"/>
      <c r="B40" s="8" t="s">
        <v>41</v>
      </c>
      <c r="D40" s="14" t="s">
        <v>80</v>
      </c>
      <c r="E40" s="8">
        <v>25</v>
      </c>
      <c r="F40" s="10" t="s">
        <v>107</v>
      </c>
      <c r="G40" s="8">
        <v>50</v>
      </c>
      <c r="H40" s="10" t="s">
        <v>136</v>
      </c>
      <c r="I40" s="8">
        <v>50</v>
      </c>
      <c r="J40" s="10" t="s">
        <v>136</v>
      </c>
      <c r="K40" s="19">
        <v>65</v>
      </c>
      <c r="L40" s="10" t="s">
        <v>179</v>
      </c>
      <c r="M40" s="19">
        <v>65</v>
      </c>
      <c r="N40" s="10" t="s">
        <v>277</v>
      </c>
      <c r="Q40" s="27">
        <v>90</v>
      </c>
      <c r="R40" s="10" t="s">
        <v>329</v>
      </c>
      <c r="BK40" s="8">
        <f t="shared" si="0"/>
        <v>57.5</v>
      </c>
      <c r="BL40" s="11" t="str" cm="1">
        <f t="array" ref="BL40">_xlfn.TEXTJOIN(" ", TRUE, _xlfn._xlws.FILTER(C40:BJ40, MOD(COLUMN(C40:BJ40)-COLUMN(BN40),2)=0))</f>
        <v>NO CLASS DUE TO HOLIDAY PLAYING WITHOUT ANY AIM PLAYING WELL IN SHUTTLE PLAYING WELL IN SHUTTLE INTERESTED IN CRICKET PLAYING WELL SHORT CRICKET INTERESTED IN CRICKET ,VOLLEYBALL,FOOTBALL&amp;TENNIS.RUNNER IN TENNIS</v>
      </c>
      <c r="BO40" s="8"/>
    </row>
    <row r="41" spans="1:69" ht="14.35" customHeight="1" x14ac:dyDescent="0.45">
      <c r="A41" s="29"/>
      <c r="B41" s="8" t="s">
        <v>42</v>
      </c>
      <c r="C41" s="8"/>
      <c r="D41" s="14" t="s">
        <v>80</v>
      </c>
      <c r="E41" s="8">
        <v>50</v>
      </c>
      <c r="F41" s="10" t="s">
        <v>88</v>
      </c>
      <c r="G41" s="8">
        <v>75</v>
      </c>
      <c r="H41" s="10" t="s">
        <v>137</v>
      </c>
      <c r="I41" s="19">
        <v>65</v>
      </c>
      <c r="J41" s="10" t="s">
        <v>88</v>
      </c>
      <c r="K41" s="8">
        <v>75</v>
      </c>
      <c r="L41" s="10" t="s">
        <v>201</v>
      </c>
      <c r="M41" s="19">
        <v>65</v>
      </c>
      <c r="N41" s="10" t="s">
        <v>276</v>
      </c>
      <c r="Q41" s="26">
        <v>80</v>
      </c>
      <c r="R41" s="10" t="s">
        <v>304</v>
      </c>
      <c r="BK41" s="8">
        <f t="shared" si="0"/>
        <v>68.333333333333329</v>
      </c>
      <c r="BL41" s="11" t="str" cm="1">
        <f t="array" ref="BL41">_xlfn.TEXTJOIN(" ", TRUE, _xlfn._xlws.FILTER(C41:BJ41, MOD(COLUMN(C41:BJ41)-COLUMN(BN41),2)=0))</f>
        <v>NO CLASS DUE TO HOLIDAY PERFORMING WELL NEED MOTIVATION,CAN IMPROVE SHOWING INTEREST NEED PRACTICE PERFORMING WELL NEED MOTIVATION,CAN IMPROVE INTERESTED IN GAMES PLAYING IN CRICKET PERFORMING WELL NEED MORE PRACTICE KNOWS BASIC SKILLS LIKE DRAWING &amp;TYPING</v>
      </c>
      <c r="BO41" s="8"/>
    </row>
    <row r="42" spans="1:69" ht="14.35" customHeight="1" x14ac:dyDescent="0.45">
      <c r="A42" s="29"/>
      <c r="B42" s="8" t="s">
        <v>43</v>
      </c>
      <c r="C42" s="8">
        <v>50</v>
      </c>
      <c r="D42" s="15" t="s">
        <v>97</v>
      </c>
      <c r="E42" s="8">
        <v>50</v>
      </c>
      <c r="F42" s="10" t="s">
        <v>89</v>
      </c>
      <c r="G42" s="8">
        <v>50</v>
      </c>
      <c r="H42" s="10" t="s">
        <v>89</v>
      </c>
      <c r="I42" s="8">
        <v>50</v>
      </c>
      <c r="J42" s="10" t="s">
        <v>126</v>
      </c>
      <c r="K42" s="8">
        <v>75</v>
      </c>
      <c r="L42" s="10" t="s">
        <v>202</v>
      </c>
      <c r="M42" s="10">
        <v>70</v>
      </c>
      <c r="N42" s="10" t="s">
        <v>234</v>
      </c>
      <c r="O42" s="24">
        <v>60</v>
      </c>
      <c r="P42" s="10" t="s">
        <v>288</v>
      </c>
      <c r="Q42" s="26">
        <v>80</v>
      </c>
      <c r="R42" s="10" t="s">
        <v>295</v>
      </c>
      <c r="BK42" s="8">
        <f t="shared" si="0"/>
        <v>60.625</v>
      </c>
      <c r="BL42" s="11" t="str" cm="1">
        <f t="array" ref="BL42">_xlfn.TEXTJOIN(" ", TRUE, _xlfn._xlws.FILTER(C42:BJ42, MOD(COLUMN(C42:BJ42)-COLUMN(BN42),2)=0))</f>
        <v>GOOD TRYING HARD TO DO HIS BEST AVERAGE PARTICIPATION AVERAGE PARTICIPATION JUST PARTICIPATING INTERETSED IN ANIME DRAWING GOOD IN BALANCING FORM LINES AND REFLECTION DETAILS NEED TO PRACTICE BY FOLLOWING THE PROPER MEASUREMENTS SHOWING WILLINGNESS IN DRAWING</v>
      </c>
      <c r="BO42" s="8"/>
    </row>
    <row r="43" spans="1:69" ht="14.35" customHeight="1" x14ac:dyDescent="0.45">
      <c r="A43" s="29"/>
      <c r="B43" s="8" t="s">
        <v>44</v>
      </c>
      <c r="C43" s="9">
        <v>50</v>
      </c>
      <c r="D43" s="14" t="s">
        <v>108</v>
      </c>
      <c r="E43" s="8">
        <v>25</v>
      </c>
      <c r="F43" s="10" t="s">
        <v>121</v>
      </c>
      <c r="G43" s="10">
        <v>50</v>
      </c>
      <c r="H43" s="10" t="s">
        <v>145</v>
      </c>
      <c r="I43" s="8">
        <v>50</v>
      </c>
      <c r="J43" s="10" t="s">
        <v>146</v>
      </c>
      <c r="K43" s="19">
        <v>65</v>
      </c>
      <c r="L43" s="10" t="s">
        <v>154</v>
      </c>
      <c r="N43" s="10" t="s">
        <v>216</v>
      </c>
      <c r="O43" s="10">
        <v>55</v>
      </c>
      <c r="P43" s="10" t="s">
        <v>267</v>
      </c>
      <c r="Q43" s="26">
        <v>80</v>
      </c>
      <c r="R43" s="10" t="s">
        <v>327</v>
      </c>
      <c r="BK43" s="8">
        <f t="shared" si="0"/>
        <v>53.571428571428569</v>
      </c>
      <c r="BL43" s="11" t="str" cm="1">
        <f t="array" ref="BL43">_xlfn.TEXTJOIN(" ", TRUE, _xlfn._xlws.FILTER(C43:BJ43, MOD(COLUMN(C43:BJ43)-COLUMN(BN43),2)=0))</f>
        <v xml:space="preserve">GOOD IN READING SHOWING INTEREST IN READING NO CONCENTRATION IN CLASS DISTURBING OTHERS INTERESTED IN READING READING WELL INTERESTED IN STORY BOOKS CLASS CANCELLED INTERESTED  IN READING BOOKS, NEED TO PAY ATTENTION PREFER MORAL STORIES TO READ </v>
      </c>
      <c r="BO43" s="8"/>
    </row>
    <row r="44" spans="1:69" ht="14.35" customHeight="1" x14ac:dyDescent="0.45">
      <c r="A44" s="29"/>
      <c r="B44" s="8" t="s">
        <v>45</v>
      </c>
      <c r="D44" s="15"/>
      <c r="G44" s="10"/>
      <c r="I44" s="8"/>
      <c r="BK44" s="8" t="str">
        <f t="shared" si="0"/>
        <v/>
      </c>
      <c r="BL44" s="11" t="str" cm="1">
        <f t="array" ref="BL44">_xlfn.TEXTJOIN(" ", TRUE, _xlfn._xlws.FILTER(C44:BJ44, MOD(COLUMN(C44:BJ44)-COLUMN(BN44),2)=0))</f>
        <v/>
      </c>
      <c r="BO44" s="8"/>
    </row>
    <row r="45" spans="1:69" ht="14.35" customHeight="1" x14ac:dyDescent="0.45">
      <c r="A45" s="29" t="s">
        <v>53</v>
      </c>
      <c r="B45" s="8" t="s">
        <v>40</v>
      </c>
      <c r="D45" s="15"/>
      <c r="G45" s="10"/>
      <c r="I45" s="8"/>
      <c r="K45" s="19">
        <v>26</v>
      </c>
      <c r="L45" s="10" t="s">
        <v>180</v>
      </c>
      <c r="BK45" s="8">
        <f t="shared" si="0"/>
        <v>26</v>
      </c>
      <c r="BL45" s="11" t="str" cm="1">
        <f t="array" ref="BL45">_xlfn.TEXTJOIN(" ", TRUE, _xlfn._xlws.FILTER(C45:BJ45, MOD(COLUMN(C45:BJ45)-COLUMN(BN45),2)=0))</f>
        <v>INTERESTED IN SCIENCE</v>
      </c>
      <c r="BO45" s="8"/>
    </row>
    <row r="46" spans="1:69" ht="14.35" customHeight="1" x14ac:dyDescent="0.45">
      <c r="A46" s="29"/>
      <c r="B46" s="8" t="s">
        <v>41</v>
      </c>
      <c r="D46" s="14" t="s">
        <v>80</v>
      </c>
      <c r="E46" s="8">
        <v>25</v>
      </c>
      <c r="F46" s="10" t="s">
        <v>107</v>
      </c>
      <c r="G46" s="8">
        <v>50</v>
      </c>
      <c r="H46" s="10" t="s">
        <v>136</v>
      </c>
      <c r="I46" s="8">
        <v>50</v>
      </c>
      <c r="J46" s="10" t="s">
        <v>136</v>
      </c>
      <c r="K46" s="8">
        <v>75</v>
      </c>
      <c r="L46" s="10" t="s">
        <v>181</v>
      </c>
      <c r="M46" s="19">
        <v>65</v>
      </c>
      <c r="N46" s="10" t="s">
        <v>277</v>
      </c>
      <c r="Q46" s="27">
        <v>90</v>
      </c>
      <c r="R46" s="10" t="s">
        <v>322</v>
      </c>
      <c r="BK46" s="8">
        <f t="shared" si="0"/>
        <v>59.166666666666664</v>
      </c>
      <c r="BL46" s="11" t="str" cm="1">
        <f t="array" ref="BL46">_xlfn.TEXTJOIN(" ", TRUE, _xlfn._xlws.FILTER(C46:BJ46, MOD(COLUMN(C46:BJ46)-COLUMN(BN46),2)=0))</f>
        <v>NO CLASS DUE TO HOLIDAY PLAYING WITHOUT ANY AIM PLAYING WELL IN SHUTTLE PLAYING WELL IN SHUTTLE INTERESTED CRICKET  PLAYING WELL SHORT CRICKET INTERESTED IN CRICKET,BADMINTON ,FOOTBALL</v>
      </c>
      <c r="BO46" s="8"/>
    </row>
    <row r="47" spans="1:69" ht="14.35" customHeight="1" x14ac:dyDescent="0.45">
      <c r="A47" s="29"/>
      <c r="B47" s="8" t="s">
        <v>42</v>
      </c>
      <c r="C47" s="8"/>
      <c r="D47" s="14" t="s">
        <v>80</v>
      </c>
      <c r="E47" s="8">
        <v>50</v>
      </c>
      <c r="F47" s="10" t="s">
        <v>88</v>
      </c>
      <c r="G47" s="8">
        <v>75</v>
      </c>
      <c r="H47" s="10" t="s">
        <v>137</v>
      </c>
      <c r="I47" s="19">
        <v>65</v>
      </c>
      <c r="J47" s="10" t="s">
        <v>88</v>
      </c>
      <c r="K47" s="8"/>
      <c r="M47" s="19">
        <v>65</v>
      </c>
      <c r="N47" s="10" t="s">
        <v>276</v>
      </c>
      <c r="Q47" s="26">
        <v>80</v>
      </c>
      <c r="R47" s="10" t="s">
        <v>304</v>
      </c>
      <c r="BK47" s="8">
        <f t="shared" si="0"/>
        <v>67</v>
      </c>
      <c r="BL47" s="11" t="str" cm="1">
        <f t="array" ref="BL47">_xlfn.TEXTJOIN(" ", TRUE, _xlfn._xlws.FILTER(C47:BJ47, MOD(COLUMN(C47:BJ47)-COLUMN(BN47),2)=0))</f>
        <v>NO CLASS DUE TO HOLIDAY PERFORMING WELL NEED MOTIVATION,CAN IMPROVE SHOWING INTEREST NEED PRACTICE PERFORMING WELL NEED MOTIVATION,CAN IMPROVE PERFORMING WELL NEED MORE PRACTICE KNOWS BASIC SKILLS LIKE DRAWING &amp;TYPING</v>
      </c>
      <c r="BO47" s="8"/>
    </row>
    <row r="48" spans="1:69" ht="14.35" customHeight="1" x14ac:dyDescent="0.45">
      <c r="A48" s="29"/>
      <c r="B48" s="8" t="s">
        <v>43</v>
      </c>
      <c r="C48" s="8">
        <v>50</v>
      </c>
      <c r="D48" s="15" t="s">
        <v>98</v>
      </c>
      <c r="E48" s="16">
        <v>50</v>
      </c>
      <c r="F48" s="10" t="s">
        <v>87</v>
      </c>
      <c r="G48" s="16">
        <v>65</v>
      </c>
      <c r="H48" s="10" t="s">
        <v>87</v>
      </c>
      <c r="I48" s="18">
        <v>65</v>
      </c>
      <c r="J48" s="10" t="s">
        <v>130</v>
      </c>
      <c r="K48" s="8">
        <v>75</v>
      </c>
      <c r="L48" s="10" t="s">
        <v>182</v>
      </c>
      <c r="M48" s="10">
        <v>65</v>
      </c>
      <c r="N48" s="10" t="s">
        <v>235</v>
      </c>
      <c r="O48" s="19">
        <v>65</v>
      </c>
      <c r="P48" s="10" t="s">
        <v>290</v>
      </c>
      <c r="Q48" s="26">
        <v>80</v>
      </c>
      <c r="R48" s="10" t="s">
        <v>295</v>
      </c>
      <c r="BK48" s="8">
        <f t="shared" si="0"/>
        <v>64.375</v>
      </c>
      <c r="BL48" s="11" t="str" cm="1">
        <f t="array" ref="BL48">_xlfn.TEXTJOIN(" ", TRUE, _xlfn._xlws.FILTER(C48:BJ48, MOD(COLUMN(C48:BJ48)-COLUMN(BN48),2)=0))</f>
        <v>NEED TO PRACTICE MORE DOING GOOD NEED TO PRACTICE DOING GOOD NEED TO PRACTICE DOING GOOD AND GIVING EXACT THE FIGURE AS SHOWN IN BOOK  HANDS  BLENDING SKILFULLY,  AND DRAWING WITH GOOD EDGES INTERESTED HOME DRAWING AND FOREST PICTURES SURFACE HINTING AT TRANSLUCENCY CAN DO BETTER NEED PRACTICE SHOWING WILLINGNESS IN DRAWING</v>
      </c>
      <c r="BO48" s="8"/>
    </row>
    <row r="49" spans="1:67" ht="14.35" customHeight="1" x14ac:dyDescent="0.45">
      <c r="A49" s="29"/>
      <c r="B49" s="8" t="s">
        <v>44</v>
      </c>
      <c r="C49" s="8">
        <v>25</v>
      </c>
      <c r="D49" s="15" t="s">
        <v>96</v>
      </c>
      <c r="E49" s="8">
        <v>25</v>
      </c>
      <c r="F49" s="10" t="s">
        <v>115</v>
      </c>
      <c r="G49" s="8">
        <v>50</v>
      </c>
      <c r="H49" s="10" t="s">
        <v>140</v>
      </c>
      <c r="I49" s="8">
        <v>50</v>
      </c>
      <c r="J49" s="10" t="s">
        <v>140</v>
      </c>
      <c r="K49" s="8">
        <v>75</v>
      </c>
      <c r="L49" s="10" t="s">
        <v>183</v>
      </c>
      <c r="N49" s="10" t="s">
        <v>216</v>
      </c>
      <c r="O49" s="10">
        <v>70</v>
      </c>
      <c r="P49" s="10" t="s">
        <v>268</v>
      </c>
      <c r="Q49" s="25">
        <v>85</v>
      </c>
      <c r="R49" s="10" t="s">
        <v>323</v>
      </c>
      <c r="BK49" s="8">
        <f t="shared" si="0"/>
        <v>54.285714285714285</v>
      </c>
      <c r="BL49" s="11" t="str" cm="1">
        <f t="array" ref="BL49">_xlfn.TEXTJOIN(" ", TRUE, _xlfn._xlws.FILTER(C49:BJ49, MOD(COLUMN(C49:BJ49)-COLUMN(BN49),2)=0))</f>
        <v>NEUTRAL PARTICIPATION IN CLASS NO INTEREST IN READING  NEED TO IMPROVE READING ABILITY NEED TO IMPROVE READING ABILITY INTERESTED IN HORROR BOOKS CLASS CANCELLED INTERESTED IN READING,GOOD AT VOCABULARY PREFER TO READ HORROR STORIES</v>
      </c>
      <c r="BO49" s="8"/>
    </row>
    <row r="50" spans="1:67" ht="14.35" customHeight="1" x14ac:dyDescent="0.45">
      <c r="A50" s="29"/>
      <c r="B50" s="8" t="s">
        <v>45</v>
      </c>
      <c r="D50" s="15"/>
      <c r="E50" s="8"/>
      <c r="I50" s="8"/>
      <c r="BK50" s="8" t="str">
        <f t="shared" si="0"/>
        <v/>
      </c>
      <c r="BL50" s="11" t="str" cm="1">
        <f t="array" ref="BL50">_xlfn.TEXTJOIN(" ", TRUE, _xlfn._xlws.FILTER(C50:BJ50, MOD(COLUMN(C50:BJ50)-COLUMN(BN50),2)=0))</f>
        <v/>
      </c>
      <c r="BO50" s="8"/>
    </row>
    <row r="51" spans="1:67" ht="14.35" customHeight="1" x14ac:dyDescent="0.45">
      <c r="A51" s="29" t="s">
        <v>54</v>
      </c>
      <c r="B51" s="8" t="s">
        <v>40</v>
      </c>
      <c r="D51" s="15"/>
      <c r="E51" s="8"/>
      <c r="I51" s="8"/>
      <c r="K51" s="8">
        <v>92</v>
      </c>
      <c r="L51" s="10" t="s">
        <v>197</v>
      </c>
      <c r="BK51" s="8">
        <f t="shared" si="0"/>
        <v>92</v>
      </c>
      <c r="BL51" s="11" t="str" cm="1">
        <f t="array" ref="BL51">_xlfn.TEXTJOIN(" ", TRUE, _xlfn._xlws.FILTER(C51:BJ51, MOD(COLUMN(C51:BJ51)-COLUMN(BN51),2)=0))</f>
        <v>INTERESTED IN SOCIAL ESPECIALLY ABOUT MAPS</v>
      </c>
      <c r="BO51" s="8"/>
    </row>
    <row r="52" spans="1:67" ht="14.35" customHeight="1" x14ac:dyDescent="0.45">
      <c r="A52" s="29"/>
      <c r="B52" s="8" t="s">
        <v>41</v>
      </c>
      <c r="D52" s="14" t="s">
        <v>80</v>
      </c>
      <c r="E52" s="8">
        <v>25</v>
      </c>
      <c r="F52" s="10" t="s">
        <v>107</v>
      </c>
      <c r="G52" s="8">
        <v>50</v>
      </c>
      <c r="H52" s="10" t="s">
        <v>136</v>
      </c>
      <c r="I52" s="8">
        <v>50</v>
      </c>
      <c r="J52" s="10" t="s">
        <v>136</v>
      </c>
      <c r="K52" s="8">
        <v>75</v>
      </c>
      <c r="L52" s="10" t="s">
        <v>179</v>
      </c>
      <c r="M52" s="19">
        <v>65</v>
      </c>
      <c r="N52" s="10" t="s">
        <v>277</v>
      </c>
      <c r="Q52" s="27">
        <v>90</v>
      </c>
      <c r="R52" s="10" t="s">
        <v>331</v>
      </c>
      <c r="BK52" s="8">
        <f t="shared" si="0"/>
        <v>59.166666666666664</v>
      </c>
      <c r="BL52" s="11" t="str" cm="1">
        <f t="array" ref="BL52">_xlfn.TEXTJOIN(" ", TRUE, _xlfn._xlws.FILTER(C52:BJ52, MOD(COLUMN(C52:BJ52)-COLUMN(BN52),2)=0))</f>
        <v>NO CLASS DUE TO HOLIDAY PLAYING WITHOUT ANY AIM PLAYING WELL IN SHUTTLE PLAYING WELL IN SHUTTLE INTERESTED IN CRICKET PLAYING WELL SHORT CRICKET INTERESTED IN CRICKET,BADMINTON ,VOLLEYBALL</v>
      </c>
      <c r="BO52" s="8"/>
    </row>
    <row r="53" spans="1:67" ht="14.35" customHeight="1" x14ac:dyDescent="0.45">
      <c r="A53" s="29"/>
      <c r="B53" s="8" t="s">
        <v>42</v>
      </c>
      <c r="C53" s="8"/>
      <c r="D53" s="14" t="s">
        <v>80</v>
      </c>
      <c r="E53" s="8">
        <v>50</v>
      </c>
      <c r="F53" s="10" t="s">
        <v>88</v>
      </c>
      <c r="G53" s="8">
        <v>75</v>
      </c>
      <c r="H53" s="10" t="s">
        <v>137</v>
      </c>
      <c r="I53" s="19">
        <v>65</v>
      </c>
      <c r="J53" s="10" t="s">
        <v>88</v>
      </c>
      <c r="K53" s="8"/>
      <c r="M53" s="19">
        <v>65</v>
      </c>
      <c r="N53" s="10" t="s">
        <v>276</v>
      </c>
      <c r="Q53" s="26">
        <v>80</v>
      </c>
      <c r="R53" s="10" t="s">
        <v>304</v>
      </c>
      <c r="BK53" s="8">
        <f t="shared" si="0"/>
        <v>67</v>
      </c>
      <c r="BL53" s="11" t="str" cm="1">
        <f t="array" ref="BL53">_xlfn.TEXTJOIN(" ", TRUE, _xlfn._xlws.FILTER(C53:BJ53, MOD(COLUMN(C53:BJ53)-COLUMN(BN53),2)=0))</f>
        <v>NO CLASS DUE TO HOLIDAY PERFORMING WELL NEED MOTIVATION,CAN IMPROVE SHOWING INTEREST NEED PRACTICE PERFORMING WELL NEED MOTIVATION,CAN IMPROVE PERFORMING WELL NEED MORE PRACTICE KNOWS BASIC SKILLS LIKE DRAWING &amp;TYPING</v>
      </c>
      <c r="BO53" s="8"/>
    </row>
    <row r="54" spans="1:67" ht="14.35" customHeight="1" x14ac:dyDescent="0.45">
      <c r="A54" s="29"/>
      <c r="B54" s="8" t="s">
        <v>43</v>
      </c>
      <c r="C54" s="8">
        <v>50</v>
      </c>
      <c r="D54" s="15" t="s">
        <v>99</v>
      </c>
      <c r="E54" s="8">
        <v>50</v>
      </c>
      <c r="F54" s="10" t="s">
        <v>89</v>
      </c>
      <c r="G54" s="8">
        <v>50</v>
      </c>
      <c r="H54" s="10" t="s">
        <v>89</v>
      </c>
      <c r="I54" s="8" t="s">
        <v>79</v>
      </c>
      <c r="J54" s="10" t="s">
        <v>131</v>
      </c>
      <c r="K54" s="8"/>
      <c r="M54" s="10" t="s">
        <v>79</v>
      </c>
      <c r="N54" s="10" t="s">
        <v>79</v>
      </c>
      <c r="O54" s="19">
        <v>65</v>
      </c>
      <c r="P54" s="10" t="s">
        <v>291</v>
      </c>
      <c r="Q54" s="26">
        <v>80</v>
      </c>
      <c r="R54" s="10" t="s">
        <v>295</v>
      </c>
      <c r="BK54" s="8">
        <f t="shared" si="0"/>
        <v>59</v>
      </c>
      <c r="BL54" s="11" t="str" cm="1">
        <f t="array" ref="BL54">_xlfn.TEXTJOIN(" ", TRUE, _xlfn._xlws.FILTER(C54:BJ54, MOD(COLUMN(C54:BJ54)-COLUMN(BN54),2)=0))</f>
        <v>AVERAGE PARTICIPATION IN CLASS AVERAGE PARTICIPATION AVERAGE PARTICIPATION ABSENT AB PERFORMING WELL NEED PRACTICE SHOWING WILLINGNESS IN DRAWING</v>
      </c>
      <c r="BO54" s="8"/>
    </row>
    <row r="55" spans="1:67" ht="14.35" customHeight="1" x14ac:dyDescent="0.45">
      <c r="A55" s="29"/>
      <c r="B55" s="8" t="s">
        <v>44</v>
      </c>
      <c r="C55" s="9">
        <v>50</v>
      </c>
      <c r="D55" s="14" t="s">
        <v>108</v>
      </c>
      <c r="E55" s="8">
        <v>25</v>
      </c>
      <c r="F55" s="10" t="s">
        <v>121</v>
      </c>
      <c r="G55" s="8">
        <v>50</v>
      </c>
      <c r="H55" s="10" t="s">
        <v>147</v>
      </c>
      <c r="I55" s="8">
        <v>50</v>
      </c>
      <c r="J55" s="10" t="s">
        <v>148</v>
      </c>
      <c r="K55" s="19">
        <v>65</v>
      </c>
      <c r="L55" s="10" t="s">
        <v>154</v>
      </c>
      <c r="N55" s="10" t="s">
        <v>216</v>
      </c>
      <c r="O55" s="10">
        <v>60</v>
      </c>
      <c r="P55" s="10" t="s">
        <v>254</v>
      </c>
      <c r="Q55" s="25">
        <v>85</v>
      </c>
      <c r="R55" s="10" t="s">
        <v>317</v>
      </c>
      <c r="BK55" s="8">
        <f t="shared" si="0"/>
        <v>55</v>
      </c>
      <c r="BL55" s="11" t="str" cm="1">
        <f t="array" ref="BL55">_xlfn.TEXTJOIN(" ", TRUE, _xlfn._xlws.FILTER(C55:BJ55, MOD(COLUMN(C55:BJ55)-COLUMN(BN55),2)=0))</f>
        <v>GOOD IN READING SHOWING INTEREST IN READING NO CONCENTRATION IN CLASS DISTURBING OTHERS CAN IMPROVE NEED TO CONCENTRATE DOING GOOD NEED TO IMPROVE INTERESTED IN STORY BOOKS CLASS CANCELLED INTERESTED IN READING BOOKS PREFER TO READ MORAL STORIES</v>
      </c>
      <c r="BO55" s="8"/>
    </row>
    <row r="56" spans="1:67" ht="14.35" customHeight="1" x14ac:dyDescent="0.45">
      <c r="A56" s="29"/>
      <c r="B56" s="8" t="s">
        <v>45</v>
      </c>
      <c r="D56" s="15"/>
      <c r="E56" s="8"/>
      <c r="I56" s="8"/>
      <c r="BK56" s="8" t="str">
        <f t="shared" si="0"/>
        <v/>
      </c>
      <c r="BL56" s="11" t="str" cm="1">
        <f t="array" ref="BL56">_xlfn.TEXTJOIN(" ", TRUE, _xlfn._xlws.FILTER(C56:BJ56, MOD(COLUMN(C56:BJ56)-COLUMN(BN56),2)=0))</f>
        <v/>
      </c>
      <c r="BO56" s="8"/>
    </row>
    <row r="57" spans="1:67" ht="14.35" customHeight="1" x14ac:dyDescent="0.45">
      <c r="A57" s="29" t="s">
        <v>55</v>
      </c>
      <c r="B57" s="8" t="s">
        <v>40</v>
      </c>
      <c r="D57" s="15"/>
      <c r="E57" s="8"/>
      <c r="I57" s="8"/>
      <c r="K57" s="8">
        <v>69</v>
      </c>
      <c r="L57" s="10" t="s">
        <v>186</v>
      </c>
      <c r="BK57" s="8">
        <f t="shared" si="0"/>
        <v>69</v>
      </c>
      <c r="BL57" s="11" t="str" cm="1">
        <f t="array" ref="BL57">_xlfn.TEXTJOIN(" ", TRUE, _xlfn._xlws.FILTER(C57:BJ57, MOD(COLUMN(C57:BJ57)-COLUMN(BN57),2)=0))</f>
        <v>INTERSTED IN SOCIAL ESPECIALLY IN HISTORY</v>
      </c>
      <c r="BO57" s="8"/>
    </row>
    <row r="58" spans="1:67" ht="14.35" customHeight="1" x14ac:dyDescent="0.45">
      <c r="A58" s="29"/>
      <c r="B58" s="8" t="s">
        <v>41</v>
      </c>
      <c r="D58" s="14" t="s">
        <v>80</v>
      </c>
      <c r="E58" s="8">
        <v>25</v>
      </c>
      <c r="F58" s="10" t="s">
        <v>107</v>
      </c>
      <c r="G58" s="8">
        <v>50</v>
      </c>
      <c r="H58" s="10" t="s">
        <v>136</v>
      </c>
      <c r="I58" s="8">
        <v>50</v>
      </c>
      <c r="J58" s="10" t="s">
        <v>136</v>
      </c>
      <c r="K58" s="8">
        <v>75</v>
      </c>
      <c r="L58" s="10" t="s">
        <v>187</v>
      </c>
      <c r="M58" s="19">
        <v>65</v>
      </c>
      <c r="N58" s="10" t="s">
        <v>277</v>
      </c>
      <c r="Q58" s="27">
        <v>90</v>
      </c>
      <c r="R58" s="10" t="s">
        <v>346</v>
      </c>
      <c r="BK58" s="8">
        <f t="shared" si="0"/>
        <v>59.166666666666664</v>
      </c>
      <c r="BL58" s="11" t="str" cm="1">
        <f t="array" ref="BL58">_xlfn.TEXTJOIN(" ", TRUE, _xlfn._xlws.FILTER(C58:BJ58, MOD(COLUMN(C58:BJ58)-COLUMN(BN58),2)=0))</f>
        <v xml:space="preserve">NO CLASS DUE TO HOLIDAY PLAYING WITHOUT ANY AIM PLAYING WELL IN SHUTTLE PLAYING WELL IN SHUTTLE INTERSTED IN CRICKET &amp; FREE FIRE PLAYING WELL SHORT CRICKET INTERESTED IN CRICKET,BADMINTON </v>
      </c>
      <c r="BO58" s="8"/>
    </row>
    <row r="59" spans="1:67" ht="14.35" customHeight="1" x14ac:dyDescent="0.45">
      <c r="A59" s="29"/>
      <c r="B59" s="8" t="s">
        <v>42</v>
      </c>
      <c r="C59" s="8"/>
      <c r="D59" s="14" t="s">
        <v>80</v>
      </c>
      <c r="E59" s="8">
        <v>50</v>
      </c>
      <c r="F59" s="10" t="s">
        <v>88</v>
      </c>
      <c r="G59" s="8">
        <v>75</v>
      </c>
      <c r="H59" s="10" t="s">
        <v>137</v>
      </c>
      <c r="I59" s="19">
        <v>65</v>
      </c>
      <c r="J59" s="10" t="s">
        <v>88</v>
      </c>
      <c r="K59" s="19">
        <v>65</v>
      </c>
      <c r="L59" s="10" t="s">
        <v>188</v>
      </c>
      <c r="M59" s="19">
        <v>65</v>
      </c>
      <c r="N59" s="10" t="s">
        <v>276</v>
      </c>
      <c r="Q59" s="26">
        <v>80</v>
      </c>
      <c r="R59" s="10" t="s">
        <v>304</v>
      </c>
      <c r="BK59" s="8">
        <f t="shared" si="0"/>
        <v>66.666666666666671</v>
      </c>
      <c r="BL59" s="11" t="str" cm="1">
        <f t="array" ref="BL59">_xlfn.TEXTJOIN(" ", TRUE, _xlfn._xlws.FILTER(C59:BJ59, MOD(COLUMN(C59:BJ59)-COLUMN(BN59),2)=0))</f>
        <v>NO CLASS DUE TO HOLIDAY PERFORMING WELL NEED MOTIVATION,CAN IMPROVE SHOWING INTEREST NEED PRACTICE PERFORMING WELL NEED MOTIVATION,CAN IMPROVE INTERESTED IN DRAWING IN COMPUTER PERFORMING WELL NEED MORE PRACTICE KNOWS BASIC SKILLS LIKE DRAWING &amp;TYPING</v>
      </c>
      <c r="BO59" s="8"/>
    </row>
    <row r="60" spans="1:67" ht="14.35" customHeight="1" x14ac:dyDescent="0.45">
      <c r="A60" s="29"/>
      <c r="B60" s="8" t="s">
        <v>43</v>
      </c>
      <c r="C60" s="8" t="s">
        <v>79</v>
      </c>
      <c r="D60" s="15" t="s">
        <v>79</v>
      </c>
      <c r="E60" s="8">
        <v>25</v>
      </c>
      <c r="F60" s="10" t="s">
        <v>82</v>
      </c>
      <c r="G60" s="8">
        <v>25</v>
      </c>
      <c r="H60" s="10" t="s">
        <v>82</v>
      </c>
      <c r="I60" s="8">
        <v>25</v>
      </c>
      <c r="J60" s="10" t="s">
        <v>125</v>
      </c>
      <c r="K60" s="8"/>
      <c r="M60" s="10">
        <v>60</v>
      </c>
      <c r="N60" s="10" t="s">
        <v>237</v>
      </c>
      <c r="O60" s="24">
        <v>60</v>
      </c>
      <c r="P60" s="10" t="s">
        <v>292</v>
      </c>
      <c r="Q60" s="26">
        <v>80</v>
      </c>
      <c r="R60" s="10" t="s">
        <v>295</v>
      </c>
      <c r="BK60" s="8">
        <f t="shared" si="0"/>
        <v>45.833333333333336</v>
      </c>
      <c r="BL60" s="11" t="str" cm="1">
        <f t="array" ref="BL60">_xlfn.TEXTJOIN(" ", TRUE, _xlfn._xlws.FILTER(C60:BJ60, MOD(COLUMN(C60:BJ60)-COLUMN(BN60),2)=0))</f>
        <v>AB NEUTRAL PARTICIPATION NEUTRAL PARTICIPATION NEUTRAL PERFORMANCE NEED TO FOCUS ON THE PERSPECTIVE OF THE FIGURE NEED TO CONCENTRATE ON THE MEASUREMENTS SHOWING WILLINGNESS IN DRAWING</v>
      </c>
      <c r="BO60" s="8"/>
    </row>
    <row r="61" spans="1:67" ht="14.35" customHeight="1" x14ac:dyDescent="0.45">
      <c r="A61" s="29"/>
      <c r="B61" s="8" t="s">
        <v>44</v>
      </c>
      <c r="C61" s="9">
        <v>50</v>
      </c>
      <c r="D61" s="14" t="s">
        <v>108</v>
      </c>
      <c r="E61" s="8">
        <v>50</v>
      </c>
      <c r="F61" s="10" t="s">
        <v>113</v>
      </c>
      <c r="G61" s="8">
        <v>50</v>
      </c>
      <c r="H61" s="10" t="s">
        <v>89</v>
      </c>
      <c r="I61" s="8">
        <v>50</v>
      </c>
      <c r="J61" s="10" t="s">
        <v>146</v>
      </c>
      <c r="K61" s="8"/>
      <c r="N61" s="10" t="s">
        <v>216</v>
      </c>
      <c r="O61" s="10">
        <v>60</v>
      </c>
      <c r="P61" s="10" t="s">
        <v>264</v>
      </c>
      <c r="Q61" s="25">
        <v>85</v>
      </c>
      <c r="R61" s="10" t="s">
        <v>344</v>
      </c>
      <c r="BK61" s="8">
        <f t="shared" si="0"/>
        <v>57.5</v>
      </c>
      <c r="BL61" s="11" t="str" cm="1">
        <f t="array" ref="BL61">_xlfn.TEXTJOIN(" ", TRUE, _xlfn._xlws.FILTER(C61:BJ61, MOD(COLUMN(C61:BJ61)-COLUMN(BN61),2)=0))</f>
        <v>GOOD IN READING SHOWING INTEREST IN READING SHOWING SOME INTEREST AVERAGE PARTICIPATION READING WELL CLASS CANCELLED NEED TO IMPROVE CONCENTRACTION PERFER CARTOON BOOKS TO READ</v>
      </c>
      <c r="BO61" s="8"/>
    </row>
    <row r="62" spans="1:67" ht="14.35" customHeight="1" x14ac:dyDescent="0.45">
      <c r="A62" s="29"/>
      <c r="B62" s="8" t="s">
        <v>45</v>
      </c>
      <c r="D62" s="15"/>
      <c r="E62" s="8"/>
      <c r="I62" s="8"/>
      <c r="BK62" s="8" t="str">
        <f t="shared" si="0"/>
        <v/>
      </c>
      <c r="BL62" s="11" t="str" cm="1">
        <f t="array" ref="BL62">_xlfn.TEXTJOIN(" ", TRUE, _xlfn._xlws.FILTER(C62:BJ62, MOD(COLUMN(C62:BJ62)-COLUMN(BN62),2)=0))</f>
        <v/>
      </c>
      <c r="BO62" s="8"/>
    </row>
    <row r="63" spans="1:67" ht="14.35" customHeight="1" x14ac:dyDescent="0.45">
      <c r="A63" s="29" t="s">
        <v>56</v>
      </c>
      <c r="B63" s="8" t="s">
        <v>40</v>
      </c>
      <c r="D63" s="15"/>
      <c r="E63" s="8"/>
      <c r="I63" s="8"/>
      <c r="K63" s="8">
        <v>75</v>
      </c>
      <c r="L63" s="10" t="s">
        <v>194</v>
      </c>
      <c r="BK63" s="8">
        <f t="shared" si="0"/>
        <v>75</v>
      </c>
      <c r="BL63" s="11" t="str" cm="1">
        <f t="array" ref="BL63">_xlfn.TEXTJOIN(" ", TRUE, _xlfn._xlws.FILTER(C63:BJ63, MOD(COLUMN(C63:BJ63)-COLUMN(BN63),2)=0))</f>
        <v>INTERESTED IN SOCIAL ESPECIALLY IN MOGAL EMPIRE</v>
      </c>
      <c r="BO63" s="8"/>
    </row>
    <row r="64" spans="1:67" ht="14.35" customHeight="1" x14ac:dyDescent="0.45">
      <c r="A64" s="29"/>
      <c r="B64" s="8" t="s">
        <v>41</v>
      </c>
      <c r="D64" s="14" t="s">
        <v>80</v>
      </c>
      <c r="E64" s="8">
        <v>25</v>
      </c>
      <c r="F64" s="10" t="s">
        <v>107</v>
      </c>
      <c r="G64" s="8">
        <v>50</v>
      </c>
      <c r="H64" s="10" t="s">
        <v>136</v>
      </c>
      <c r="I64" s="8">
        <v>50</v>
      </c>
      <c r="J64" s="10" t="s">
        <v>136</v>
      </c>
      <c r="K64" s="8">
        <v>75</v>
      </c>
      <c r="L64" s="10" t="s">
        <v>214</v>
      </c>
      <c r="M64" s="19">
        <v>65</v>
      </c>
      <c r="N64" s="10" t="s">
        <v>277</v>
      </c>
      <c r="Q64" s="27">
        <v>90</v>
      </c>
      <c r="R64" s="10" t="s">
        <v>345</v>
      </c>
      <c r="BK64" s="8">
        <f t="shared" si="0"/>
        <v>59.166666666666664</v>
      </c>
      <c r="BL64" s="11" t="str" cm="1">
        <f t="array" ref="BL64">_xlfn.TEXTJOIN(" ", TRUE, _xlfn._xlws.FILTER(C64:BJ64, MOD(COLUMN(C64:BJ64)-COLUMN(BN64),2)=0))</f>
        <v>NO CLASS DUE TO HOLIDAY PLAYING WITHOUT ANY AIM PLAYING WELL IN SHUTTLE PLAYING WELL IN SHUTTLE INTERETSED IN CRICKET PLAYING WELL SHORT CRICKET INTERESTED IN FOOTBALL,BADMINTON ,VOLLEYBALL</v>
      </c>
      <c r="BO64" s="8"/>
    </row>
    <row r="65" spans="1:67" ht="14.35" customHeight="1" x14ac:dyDescent="0.45">
      <c r="A65" s="29"/>
      <c r="B65" s="8" t="s">
        <v>42</v>
      </c>
      <c r="C65" s="8"/>
      <c r="D65" s="14" t="s">
        <v>80</v>
      </c>
      <c r="E65" s="8">
        <v>50</v>
      </c>
      <c r="F65" s="10" t="s">
        <v>88</v>
      </c>
      <c r="G65" s="8">
        <v>75</v>
      </c>
      <c r="H65" s="10" t="s">
        <v>137</v>
      </c>
      <c r="I65" s="19">
        <v>65</v>
      </c>
      <c r="J65" s="10" t="s">
        <v>88</v>
      </c>
      <c r="K65" s="19">
        <v>65</v>
      </c>
      <c r="L65" s="10" t="s">
        <v>215</v>
      </c>
      <c r="M65" s="19">
        <v>65</v>
      </c>
      <c r="N65" s="10" t="s">
        <v>276</v>
      </c>
      <c r="Q65" s="26">
        <v>80</v>
      </c>
      <c r="R65" s="10" t="s">
        <v>304</v>
      </c>
      <c r="BK65" s="8">
        <f t="shared" si="0"/>
        <v>66.666666666666671</v>
      </c>
      <c r="BL65" s="11" t="str" cm="1">
        <f t="array" ref="BL65">_xlfn.TEXTJOIN(" ", TRUE, _xlfn._xlws.FILTER(C65:BJ65, MOD(COLUMN(C65:BJ65)-COLUMN(BN65),2)=0))</f>
        <v>NO CLASS DUE TO HOLIDAY PERFORMING WELL NEED MOTIVATION,CAN IMPROVE SHOWING INTEREST NEED PRACTICE PERFORMING WELL NEED MOTIVATION,CAN IMPROVE INTERETSED IN TYPING PLAYING GAMES IN COMPUTER PERFORMING WELL NEED MORE PRACTICE KNOWS BASIC SKILLS LIKE DRAWING &amp;TYPING</v>
      </c>
      <c r="BO65" s="8"/>
    </row>
    <row r="66" spans="1:67" ht="14.35" customHeight="1" x14ac:dyDescent="0.45">
      <c r="A66" s="29"/>
      <c r="B66" s="8" t="s">
        <v>43</v>
      </c>
      <c r="C66" s="8">
        <v>50</v>
      </c>
      <c r="D66" s="15" t="s">
        <v>100</v>
      </c>
      <c r="E66" s="8">
        <v>50</v>
      </c>
      <c r="F66" s="10" t="s">
        <v>89</v>
      </c>
      <c r="G66" s="8">
        <v>50</v>
      </c>
      <c r="H66" s="10" t="s">
        <v>89</v>
      </c>
      <c r="I66" s="8">
        <v>50</v>
      </c>
      <c r="J66" s="10" t="s">
        <v>133</v>
      </c>
      <c r="K66" s="8"/>
      <c r="M66" s="10">
        <v>75</v>
      </c>
      <c r="N66" s="10" t="s">
        <v>236</v>
      </c>
      <c r="Q66" s="26">
        <v>80</v>
      </c>
      <c r="R66" s="10" t="s">
        <v>295</v>
      </c>
      <c r="BK66" s="8">
        <f t="shared" si="0"/>
        <v>59.166666666666664</v>
      </c>
      <c r="BL66" s="11" t="str" cm="1">
        <f t="array" ref="BL66">_xlfn.TEXTJOIN(" ", TRUE, _xlfn._xlws.FILTER(C66:BJ66, MOD(COLUMN(C66:BJ66)-COLUMN(BN66),2)=0))</f>
        <v>GOOD IN PENCIL DRAWING AVERAGE PARTICIPATION AVERAGE PARTICIPATION  AVERAGE PERFORMANCE GOOD IN UNDERSTANDING THE STRUCTURE OF THE FIGURE SHOWING WILLINGNESS IN DRAWING</v>
      </c>
      <c r="BO66" s="8"/>
    </row>
    <row r="67" spans="1:67" ht="14.35" customHeight="1" x14ac:dyDescent="0.45">
      <c r="A67" s="29"/>
      <c r="B67" s="8" t="s">
        <v>44</v>
      </c>
      <c r="C67" s="9">
        <v>50</v>
      </c>
      <c r="D67" s="14" t="s">
        <v>108</v>
      </c>
      <c r="E67" s="8">
        <v>50</v>
      </c>
      <c r="F67" s="10" t="s">
        <v>112</v>
      </c>
      <c r="G67" s="8">
        <v>50</v>
      </c>
      <c r="H67" s="10" t="s">
        <v>108</v>
      </c>
      <c r="I67" s="8">
        <v>50</v>
      </c>
      <c r="J67" s="10" t="s">
        <v>145</v>
      </c>
      <c r="K67" s="8"/>
      <c r="N67" s="10" t="s">
        <v>216</v>
      </c>
      <c r="O67" s="24">
        <v>60</v>
      </c>
      <c r="P67" s="10" t="s">
        <v>93</v>
      </c>
      <c r="Q67" s="25">
        <v>85</v>
      </c>
      <c r="R67" s="10" t="s">
        <v>317</v>
      </c>
      <c r="BK67" s="8">
        <f t="shared" ref="BK67:BK130" si="1">IFERROR(AVERAGEIF(C67:BI67,"&lt;&gt;nill"), "")</f>
        <v>57.5</v>
      </c>
      <c r="BL67" s="11" t="str" cm="1">
        <f t="array" ref="BL67">_xlfn.TEXTJOIN(" ", TRUE, _xlfn._xlws.FILTER(C67:BJ67, MOD(COLUMN(C67:BJ67)-COLUMN(BN67),2)=0))</f>
        <v>GOOD IN READING SHOWING INTEREST IN READING GOOD IN READING GOOD IN READING SHOWING INTEREST IN READING INTERESTED IN READING CLASS CANCELLED NEED TO REFINE THE FIGURE PREFER TO READ MORAL STORIES</v>
      </c>
      <c r="BO67" s="8"/>
    </row>
    <row r="68" spans="1:67" ht="14.35" customHeight="1" x14ac:dyDescent="0.45">
      <c r="A68" s="29"/>
      <c r="B68" s="8" t="s">
        <v>45</v>
      </c>
      <c r="D68" s="15"/>
      <c r="E68" s="8"/>
      <c r="I68" s="8"/>
      <c r="O68" s="10">
        <v>60</v>
      </c>
      <c r="P68" s="10" t="s">
        <v>254</v>
      </c>
      <c r="BK68" s="8">
        <f t="shared" si="1"/>
        <v>60</v>
      </c>
      <c r="BL68" s="11" t="str" cm="1">
        <f t="array" ref="BL68">_xlfn.TEXTJOIN(" ", TRUE, _xlfn._xlws.FILTER(C68:BJ68, MOD(COLUMN(C68:BJ68)-COLUMN(BN68),2)=0))</f>
        <v>INTERESTED IN READING BOOKS</v>
      </c>
      <c r="BO68" s="8"/>
    </row>
    <row r="69" spans="1:67" ht="14.35" customHeight="1" x14ac:dyDescent="0.45">
      <c r="A69" s="29" t="s">
        <v>57</v>
      </c>
      <c r="B69" s="8" t="s">
        <v>40</v>
      </c>
      <c r="D69" s="15"/>
      <c r="E69" s="8"/>
      <c r="I69" s="8"/>
      <c r="K69" s="8">
        <v>77</v>
      </c>
      <c r="L69" s="10" t="s">
        <v>205</v>
      </c>
      <c r="BK69" s="8">
        <f t="shared" si="1"/>
        <v>77</v>
      </c>
      <c r="BL69" s="11" t="str" cm="1">
        <f t="array" ref="BL69">_xlfn.TEXTJOIN(" ", TRUE, _xlfn._xlws.FILTER(C69:BJ69, MOD(COLUMN(C69:BJ69)-COLUMN(BN69),2)=0))</f>
        <v>INTERESTED IN SCIENCE, &amp; SOCIAL &amp; URDU, ESPECIALLY IN PLANTS TOPIC &amp; IN UNIVERSE</v>
      </c>
      <c r="BO69" s="8"/>
    </row>
    <row r="70" spans="1:67" ht="14.35" customHeight="1" x14ac:dyDescent="0.45">
      <c r="A70" s="29"/>
      <c r="B70" s="8" t="s">
        <v>41</v>
      </c>
      <c r="D70" s="14" t="s">
        <v>80</v>
      </c>
      <c r="E70" s="8">
        <v>25</v>
      </c>
      <c r="F70" s="10" t="s">
        <v>107</v>
      </c>
      <c r="G70" s="8">
        <v>50</v>
      </c>
      <c r="H70" s="10" t="s">
        <v>136</v>
      </c>
      <c r="I70" s="8">
        <v>50</v>
      </c>
      <c r="J70" s="10" t="s">
        <v>136</v>
      </c>
      <c r="K70" s="8">
        <v>75</v>
      </c>
      <c r="L70" s="10" t="s">
        <v>204</v>
      </c>
      <c r="M70" s="19">
        <v>65</v>
      </c>
      <c r="N70" s="10" t="s">
        <v>277</v>
      </c>
      <c r="Q70" s="28">
        <v>95</v>
      </c>
      <c r="R70" s="10" t="s">
        <v>338</v>
      </c>
      <c r="BK70" s="8">
        <f t="shared" si="1"/>
        <v>60</v>
      </c>
      <c r="BL70" s="11" t="str" cm="1">
        <f t="array" ref="BL70">_xlfn.TEXTJOIN(" ", TRUE, _xlfn._xlws.FILTER(C70:BJ70, MOD(COLUMN(C70:BJ70)-COLUMN(BN70),2)=0))</f>
        <v>NO CLASS DUE TO HOLIDAY PLAYING WITHOUT ANY AIM PLAYING WELL IN SHUTTLE PLAYING WELL IN SHUTTLE INTERESTED IN FOOD BALL PLAYING WELL SHORT CRICKET INTERESTED IN FOOTBALL,VOLLEYBALL&amp;PARTICIPATED IN 200MTS RUNNING RACE WON 3RD PRIZE</v>
      </c>
      <c r="BO70" s="8"/>
    </row>
    <row r="71" spans="1:67" ht="14.35" customHeight="1" x14ac:dyDescent="0.45">
      <c r="A71" s="29"/>
      <c r="B71" s="8" t="s">
        <v>42</v>
      </c>
      <c r="C71" s="8"/>
      <c r="D71" s="14" t="s">
        <v>80</v>
      </c>
      <c r="E71" s="8">
        <v>50</v>
      </c>
      <c r="F71" s="10" t="s">
        <v>88</v>
      </c>
      <c r="G71" s="8">
        <v>75</v>
      </c>
      <c r="H71" s="10" t="s">
        <v>137</v>
      </c>
      <c r="I71" s="19">
        <v>65</v>
      </c>
      <c r="J71" s="10" t="s">
        <v>88</v>
      </c>
      <c r="K71" s="8"/>
      <c r="M71" s="19">
        <v>65</v>
      </c>
      <c r="N71" s="10" t="s">
        <v>276</v>
      </c>
      <c r="Q71" s="26">
        <v>80</v>
      </c>
      <c r="R71" s="10" t="s">
        <v>304</v>
      </c>
      <c r="BK71" s="8">
        <f t="shared" si="1"/>
        <v>67</v>
      </c>
      <c r="BL71" s="11" t="str" cm="1">
        <f t="array" ref="BL71">_xlfn.TEXTJOIN(" ", TRUE, _xlfn._xlws.FILTER(C71:BJ71, MOD(COLUMN(C71:BJ71)-COLUMN(BN71),2)=0))</f>
        <v>NO CLASS DUE TO HOLIDAY PERFORMING WELL NEED MOTIVATION,CAN IMPROVE SHOWING INTEREST NEED PRACTICE PERFORMING WELL NEED MOTIVATION,CAN IMPROVE PERFORMING WELL NEED MORE PRACTICE KNOWS BASIC SKILLS LIKE DRAWING &amp;TYPING</v>
      </c>
      <c r="BO71" s="8"/>
    </row>
    <row r="72" spans="1:67" ht="14.35" customHeight="1" x14ac:dyDescent="0.45">
      <c r="A72" s="29"/>
      <c r="B72" s="8" t="s">
        <v>43</v>
      </c>
      <c r="C72" s="8" t="s">
        <v>79</v>
      </c>
      <c r="D72" s="15" t="s">
        <v>79</v>
      </c>
      <c r="E72" s="8">
        <v>50</v>
      </c>
      <c r="F72" s="10" t="s">
        <v>89</v>
      </c>
      <c r="G72" s="8">
        <v>50</v>
      </c>
      <c r="H72" s="10" t="s">
        <v>89</v>
      </c>
      <c r="I72" s="8">
        <v>50</v>
      </c>
      <c r="J72" s="10" t="s">
        <v>126</v>
      </c>
      <c r="K72" s="8">
        <v>75</v>
      </c>
      <c r="L72" s="10" t="s">
        <v>206</v>
      </c>
      <c r="M72" s="10">
        <v>65</v>
      </c>
      <c r="N72" s="10" t="s">
        <v>238</v>
      </c>
      <c r="O72" s="24">
        <v>60</v>
      </c>
      <c r="P72" s="10" t="s">
        <v>293</v>
      </c>
      <c r="Q72" s="26">
        <v>80</v>
      </c>
      <c r="R72" s="10" t="s">
        <v>295</v>
      </c>
      <c r="BK72" s="8">
        <f t="shared" si="1"/>
        <v>61.428571428571431</v>
      </c>
      <c r="BL72" s="11" t="str" cm="1">
        <f t="array" ref="BL72">_xlfn.TEXTJOIN(" ", TRUE, _xlfn._xlws.FILTER(C72:BJ72, MOD(COLUMN(C72:BJ72)-COLUMN(BN72),2)=0))</f>
        <v>AB AVERAGE PARTICIPATION AVERAGE PARTICIPATION JUST PARTICIPATING INTERESTED IN TYPING , DRAWING I N COMPUTER NEED TO CROSS SECTION THE CHANGES NEED TO FOLLOW THE PROPORTION CORRECTLY SHOWING WILLINGNESS IN DRAWING</v>
      </c>
      <c r="BO72" s="8"/>
    </row>
    <row r="73" spans="1:67" ht="14.35" customHeight="1" x14ac:dyDescent="0.45">
      <c r="A73" s="29"/>
      <c r="B73" s="8" t="s">
        <v>44</v>
      </c>
      <c r="C73" s="10">
        <v>25</v>
      </c>
      <c r="D73" s="15" t="s">
        <v>96</v>
      </c>
      <c r="E73" s="8">
        <v>25</v>
      </c>
      <c r="F73" s="10" t="s">
        <v>82</v>
      </c>
      <c r="G73" s="8">
        <v>50</v>
      </c>
      <c r="H73" s="10" t="s">
        <v>146</v>
      </c>
      <c r="I73" s="8">
        <v>50</v>
      </c>
      <c r="J73" s="10" t="s">
        <v>141</v>
      </c>
      <c r="K73" s="8">
        <v>75</v>
      </c>
      <c r="L73" s="10" t="s">
        <v>207</v>
      </c>
      <c r="N73" s="10" t="s">
        <v>216</v>
      </c>
      <c r="O73" s="10">
        <v>65</v>
      </c>
      <c r="P73" s="10" t="s">
        <v>269</v>
      </c>
      <c r="Q73" s="25">
        <v>85</v>
      </c>
      <c r="R73" s="10" t="s">
        <v>333</v>
      </c>
      <c r="BK73" s="8">
        <f t="shared" si="1"/>
        <v>53.571428571428569</v>
      </c>
      <c r="BL73" s="11" t="str" cm="1">
        <f t="array" ref="BL73">_xlfn.TEXTJOIN(" ", TRUE, _xlfn._xlws.FILTER(C73:BJ73, MOD(COLUMN(C73:BJ73)-COLUMN(BN73),2)=0))</f>
        <v>NEUTRAL PARTICIPATION IN CLASS NEUTRAL PARTICIPATION READING WELL SHOWING INTEREST IN READING INTERESTED IN EMPIRE STORIES BOOKS CLASS CANCELLED INTERESTED IN MORAL STORIES,  WELL CONCENTRATED PREFER TO READ COMIC BOOKS</v>
      </c>
      <c r="BO73" s="8"/>
    </row>
    <row r="74" spans="1:67" ht="14.35" customHeight="1" x14ac:dyDescent="0.45">
      <c r="A74" s="29"/>
      <c r="B74" s="8" t="s">
        <v>45</v>
      </c>
      <c r="D74" s="15"/>
      <c r="E74" s="8"/>
      <c r="I74" s="8"/>
      <c r="BK74" s="8" t="str">
        <f t="shared" si="1"/>
        <v/>
      </c>
      <c r="BL74" s="11" t="str" cm="1">
        <f t="array" ref="BL74">_xlfn.TEXTJOIN(" ", TRUE, _xlfn._xlws.FILTER(C74:BJ74, MOD(COLUMN(C74:BJ74)-COLUMN(BN74),2)=0))</f>
        <v/>
      </c>
      <c r="BO74" s="8"/>
    </row>
    <row r="75" spans="1:67" ht="14.35" customHeight="1" x14ac:dyDescent="0.45">
      <c r="A75" s="29" t="s">
        <v>58</v>
      </c>
      <c r="B75" s="8" t="s">
        <v>40</v>
      </c>
      <c r="D75" s="15"/>
      <c r="E75" s="8"/>
      <c r="I75" s="8"/>
      <c r="K75" s="8">
        <v>64</v>
      </c>
      <c r="L75" s="10" t="s">
        <v>195</v>
      </c>
      <c r="BK75" s="8">
        <f t="shared" si="1"/>
        <v>64</v>
      </c>
      <c r="BL75" s="11" t="str" cm="1">
        <f t="array" ref="BL75">_xlfn.TEXTJOIN(" ", TRUE, _xlfn._xlws.FILTER(C75:BJ75, MOD(COLUMN(C75:BJ75)-COLUMN(BN75),2)=0))</f>
        <v>INTERESTED IN SOCIAL ESPECIALLY IN THE MOGAL EMPIRE</v>
      </c>
      <c r="BO75" s="8"/>
    </row>
    <row r="76" spans="1:67" ht="14.35" customHeight="1" x14ac:dyDescent="0.45">
      <c r="A76" s="29"/>
      <c r="B76" s="8" t="s">
        <v>41</v>
      </c>
      <c r="D76" s="14" t="s">
        <v>80</v>
      </c>
      <c r="E76" s="8">
        <v>25</v>
      </c>
      <c r="F76" s="10" t="s">
        <v>107</v>
      </c>
      <c r="G76" s="8">
        <v>50</v>
      </c>
      <c r="H76" s="10" t="s">
        <v>136</v>
      </c>
      <c r="I76" s="8">
        <v>50</v>
      </c>
      <c r="J76" s="10" t="s">
        <v>136</v>
      </c>
      <c r="K76" s="8">
        <v>75</v>
      </c>
      <c r="L76" s="10" t="s">
        <v>179</v>
      </c>
      <c r="M76" s="19">
        <v>65</v>
      </c>
      <c r="N76" s="10" t="s">
        <v>277</v>
      </c>
      <c r="Q76" s="28">
        <v>95</v>
      </c>
      <c r="R76" s="10" t="s">
        <v>332</v>
      </c>
      <c r="BK76" s="8">
        <f t="shared" si="1"/>
        <v>60</v>
      </c>
      <c r="BL76" s="11" t="str" cm="1">
        <f t="array" ref="BL76">_xlfn.TEXTJOIN(" ", TRUE, _xlfn._xlws.FILTER(C76:BJ76, MOD(COLUMN(C76:BJ76)-COLUMN(BN76),2)=0))</f>
        <v>NO CLASS DUE TO HOLIDAY PLAYING WITHOUT ANY AIM PLAYING WELL IN SHUTTLE PLAYING WELL IN SHUTTLE INTERESTED IN CRICKET PLAYING WELL SHORT CRICKET INTERESTED IN FOOTBALL&amp;PARTICIPATED IN 200MTS RUNNING RACE</v>
      </c>
      <c r="BO76" s="8"/>
    </row>
    <row r="77" spans="1:67" ht="14.35" customHeight="1" x14ac:dyDescent="0.45">
      <c r="A77" s="29"/>
      <c r="B77" s="8" t="s">
        <v>42</v>
      </c>
      <c r="C77" s="8"/>
      <c r="D77" s="14" t="s">
        <v>80</v>
      </c>
      <c r="E77" s="8">
        <v>50</v>
      </c>
      <c r="F77" s="10" t="s">
        <v>88</v>
      </c>
      <c r="G77" s="8">
        <v>75</v>
      </c>
      <c r="H77" s="10" t="s">
        <v>137</v>
      </c>
      <c r="I77" s="19">
        <v>65</v>
      </c>
      <c r="J77" s="10" t="s">
        <v>88</v>
      </c>
      <c r="K77" s="8">
        <v>75</v>
      </c>
      <c r="L77" s="10" t="s">
        <v>193</v>
      </c>
      <c r="M77" s="19">
        <v>65</v>
      </c>
      <c r="N77" s="10" t="s">
        <v>276</v>
      </c>
      <c r="Q77" s="26">
        <v>80</v>
      </c>
      <c r="R77" s="10" t="s">
        <v>334</v>
      </c>
      <c r="BK77" s="8">
        <f t="shared" si="1"/>
        <v>68.333333333333329</v>
      </c>
      <c r="BL77" s="11" t="str" cm="1">
        <f t="array" ref="BL77">_xlfn.TEXTJOIN(" ", TRUE, _xlfn._xlws.FILTER(C77:BJ77, MOD(COLUMN(C77:BJ77)-COLUMN(BN77),2)=0))</f>
        <v>NO CLASS DUE TO HOLIDAY PERFORMING WELL NEED MOTIVATION,CAN IMPROVE SHOWING INTEREST NEED PRACTICE PERFORMING WELL NEED MOTIVATION,CAN IMPROVE INTERESTED IN TYPING &amp; PLAYING GAMES  PERFORMING WELL NEED MORE PRACTICE KNOWS BASIC SKILLS LIKE DRAWING &amp;TYPING PRACTICE AT HOME ALSO</v>
      </c>
      <c r="BO77" s="8"/>
    </row>
    <row r="78" spans="1:67" ht="14.35" customHeight="1" x14ac:dyDescent="0.45">
      <c r="A78" s="29"/>
      <c r="B78" s="8" t="s">
        <v>43</v>
      </c>
      <c r="C78" s="8">
        <v>25</v>
      </c>
      <c r="D78" s="15" t="s">
        <v>96</v>
      </c>
      <c r="E78" s="8">
        <v>50</v>
      </c>
      <c r="F78" s="10" t="s">
        <v>89</v>
      </c>
      <c r="G78" s="8">
        <v>50</v>
      </c>
      <c r="H78" s="10" t="s">
        <v>89</v>
      </c>
      <c r="I78" s="8" t="s">
        <v>79</v>
      </c>
      <c r="J78" s="10" t="s">
        <v>131</v>
      </c>
      <c r="K78" s="8"/>
      <c r="M78" s="10">
        <v>70</v>
      </c>
      <c r="N78" s="10" t="s">
        <v>239</v>
      </c>
      <c r="O78" s="24">
        <v>60</v>
      </c>
      <c r="P78" s="10" t="s">
        <v>93</v>
      </c>
      <c r="Q78" s="26">
        <v>80</v>
      </c>
      <c r="R78" s="10" t="s">
        <v>245</v>
      </c>
      <c r="BK78" s="8">
        <f t="shared" si="1"/>
        <v>55.833333333333336</v>
      </c>
      <c r="BL78" s="11" t="str" cm="1">
        <f t="array" ref="BL78">_xlfn.TEXTJOIN(" ", TRUE, _xlfn._xlws.FILTER(C78:BJ78, MOD(COLUMN(C78:BJ78)-COLUMN(BN78),2)=0))</f>
        <v>NEUTRAL PARTICIPATION IN CLASS AVERAGE PARTICIPATION AVERAGE PARTICIPATION ABSENT THE BASE, SHOULDER,AND MOUTH SHOULD BE DRAWN AS ELLIPSES NEED TO REFINE THE FIGURE SHOWING PROGRESS IN DRAWING</v>
      </c>
      <c r="BO78" s="8"/>
    </row>
    <row r="79" spans="1:67" ht="14.35" customHeight="1" x14ac:dyDescent="0.45">
      <c r="A79" s="29"/>
      <c r="B79" s="8" t="s">
        <v>44</v>
      </c>
      <c r="C79" s="9">
        <v>50</v>
      </c>
      <c r="D79" s="14" t="s">
        <v>108</v>
      </c>
      <c r="E79" s="8">
        <v>50</v>
      </c>
      <c r="F79" s="10" t="s">
        <v>116</v>
      </c>
      <c r="G79" s="8">
        <v>50</v>
      </c>
      <c r="H79" s="10" t="s">
        <v>140</v>
      </c>
      <c r="I79" s="8">
        <v>50</v>
      </c>
      <c r="J79" s="10" t="s">
        <v>149</v>
      </c>
      <c r="K79" s="8"/>
      <c r="N79" s="10" t="s">
        <v>216</v>
      </c>
      <c r="O79" s="10">
        <v>70</v>
      </c>
      <c r="P79" s="10" t="s">
        <v>270</v>
      </c>
      <c r="Q79" s="26">
        <v>80</v>
      </c>
      <c r="R79" s="10" t="s">
        <v>337</v>
      </c>
      <c r="BK79" s="8">
        <f t="shared" si="1"/>
        <v>58.333333333333336</v>
      </c>
      <c r="BL79" s="11" t="str" cm="1">
        <f t="array" ref="BL79">_xlfn.TEXTJOIN(" ", TRUE, _xlfn._xlws.FILTER(C79:BJ79, MOD(COLUMN(C79:BJ79)-COLUMN(BN79),2)=0))</f>
        <v>GOOD IN READING SHOWING INTEREST IN READING UNDERSTANDING THE STORY  NEED TO IMPROVE READING ABILITY NEED TO FOCUS ON VOCABULARY CLASS CANCELLED NEED TO FOCUS ON  READING PREFER TO READ KAKOLUKIYAM [PANCHATANTRA ]</v>
      </c>
      <c r="BO79" s="8"/>
    </row>
    <row r="80" spans="1:67" ht="14.35" customHeight="1" x14ac:dyDescent="0.45">
      <c r="A80" s="29"/>
      <c r="B80" s="8" t="s">
        <v>45</v>
      </c>
      <c r="D80" s="15"/>
      <c r="E80" s="8"/>
      <c r="I80" s="8"/>
      <c r="BK80" s="8" t="str">
        <f t="shared" si="1"/>
        <v/>
      </c>
      <c r="BL80" s="11" t="str" cm="1">
        <f t="array" ref="BL80">_xlfn.TEXTJOIN(" ", TRUE, _xlfn._xlws.FILTER(C80:BJ80, MOD(COLUMN(C80:BJ80)-COLUMN(BN80),2)=0))</f>
        <v/>
      </c>
      <c r="BO80" s="8"/>
    </row>
    <row r="81" spans="1:67" ht="14.35" customHeight="1" x14ac:dyDescent="0.45">
      <c r="A81" s="29" t="s">
        <v>59</v>
      </c>
      <c r="B81" s="8" t="s">
        <v>40</v>
      </c>
      <c r="D81" s="15"/>
      <c r="E81" s="8"/>
      <c r="I81" s="8"/>
      <c r="BK81" s="8" t="str">
        <f t="shared" si="1"/>
        <v/>
      </c>
      <c r="BL81" s="11" t="str" cm="1">
        <f t="array" ref="BL81">_xlfn.TEXTJOIN(" ", TRUE, _xlfn._xlws.FILTER(C81:BJ81, MOD(COLUMN(C81:BJ81)-COLUMN(BN81),2)=0))</f>
        <v/>
      </c>
      <c r="BO81" s="8"/>
    </row>
    <row r="82" spans="1:67" ht="14.35" customHeight="1" x14ac:dyDescent="0.45">
      <c r="A82" s="29"/>
      <c r="B82" s="8" t="s">
        <v>41</v>
      </c>
      <c r="D82" s="14" t="s">
        <v>80</v>
      </c>
      <c r="E82" s="8">
        <v>25</v>
      </c>
      <c r="F82" s="10" t="s">
        <v>107</v>
      </c>
      <c r="G82" s="8">
        <v>50</v>
      </c>
      <c r="H82" s="10" t="s">
        <v>136</v>
      </c>
      <c r="I82" s="8">
        <v>50</v>
      </c>
      <c r="J82" s="10" t="s">
        <v>136</v>
      </c>
      <c r="K82" s="10">
        <v>55</v>
      </c>
      <c r="L82" s="10" t="s">
        <v>221</v>
      </c>
      <c r="M82" s="19">
        <v>65</v>
      </c>
      <c r="N82" s="10" t="s">
        <v>277</v>
      </c>
      <c r="Q82" s="28">
        <v>95</v>
      </c>
      <c r="R82" s="10" t="s">
        <v>329</v>
      </c>
      <c r="BK82" s="8">
        <f t="shared" si="1"/>
        <v>56.666666666666664</v>
      </c>
      <c r="BL82" s="11" t="str" cm="1">
        <f t="array" ref="BL82">_xlfn.TEXTJOIN(" ", TRUE, _xlfn._xlws.FILTER(C82:BJ82, MOD(COLUMN(C82:BJ82)-COLUMN(BN82),2)=0))</f>
        <v>NO CLASS DUE TO HOLIDAY PLAYING WITHOUT ANY AIM PLAYING WELL IN SHUTTLE PLAYING WELL IN SHUTTLE GOOD IN SOCIAL&amp;ENGLISH PLAYING WELL SHORT CRICKET INTERESTED IN CRICKET ,VOLLEYBALL,FOOTBALL&amp;TENNIS.RUNNER IN TENNIS</v>
      </c>
      <c r="BO82" s="8"/>
    </row>
    <row r="83" spans="1:67" ht="14.35" customHeight="1" x14ac:dyDescent="0.45">
      <c r="A83" s="29"/>
      <c r="B83" s="8" t="s">
        <v>42</v>
      </c>
      <c r="C83" s="8"/>
      <c r="D83" s="14" t="s">
        <v>80</v>
      </c>
      <c r="E83" s="8">
        <v>50</v>
      </c>
      <c r="F83" s="10" t="s">
        <v>88</v>
      </c>
      <c r="G83" s="8">
        <v>75</v>
      </c>
      <c r="H83" s="10" t="s">
        <v>137</v>
      </c>
      <c r="I83" s="19">
        <v>65</v>
      </c>
      <c r="J83" s="10" t="s">
        <v>88</v>
      </c>
      <c r="M83" s="19">
        <v>65</v>
      </c>
      <c r="N83" s="10" t="s">
        <v>276</v>
      </c>
      <c r="Q83" s="26">
        <v>80</v>
      </c>
      <c r="R83" s="10" t="s">
        <v>304</v>
      </c>
      <c r="BK83" s="8">
        <f t="shared" si="1"/>
        <v>67</v>
      </c>
      <c r="BL83" s="11" t="str" cm="1">
        <f t="array" ref="BL83">_xlfn.TEXTJOIN(" ", TRUE, _xlfn._xlws.FILTER(C83:BJ83, MOD(COLUMN(C83:BJ83)-COLUMN(BN83),2)=0))</f>
        <v>NO CLASS DUE TO HOLIDAY PERFORMING WELL NEED MOTIVATION,CAN IMPROVE SHOWING INTEREST NEED PRACTICE PERFORMING WELL NEED MOTIVATION,CAN IMPROVE PERFORMING WELL NEED MORE PRACTICE KNOWS BASIC SKILLS LIKE DRAWING &amp;TYPING</v>
      </c>
      <c r="BO83" s="8"/>
    </row>
    <row r="84" spans="1:67" ht="14.35" customHeight="1" x14ac:dyDescent="0.45">
      <c r="A84" s="29"/>
      <c r="B84" s="8" t="s">
        <v>43</v>
      </c>
      <c r="C84" s="8">
        <v>50</v>
      </c>
      <c r="D84" s="15" t="s">
        <v>99</v>
      </c>
      <c r="E84" s="8">
        <v>25</v>
      </c>
      <c r="F84" s="10" t="s">
        <v>82</v>
      </c>
      <c r="G84" s="8">
        <v>50</v>
      </c>
      <c r="H84" s="10" t="s">
        <v>89</v>
      </c>
      <c r="I84" s="8">
        <v>50</v>
      </c>
      <c r="J84" s="10" t="s">
        <v>133</v>
      </c>
      <c r="M84" s="10">
        <v>50</v>
      </c>
      <c r="N84" s="10" t="s">
        <v>89</v>
      </c>
      <c r="O84" s="19">
        <v>65</v>
      </c>
      <c r="P84" s="10" t="s">
        <v>289</v>
      </c>
      <c r="Q84" s="26">
        <v>80</v>
      </c>
      <c r="R84" s="10" t="s">
        <v>245</v>
      </c>
      <c r="BK84" s="8">
        <f t="shared" si="1"/>
        <v>52.857142857142854</v>
      </c>
      <c r="BL84" s="11" t="str" cm="1">
        <f t="array" ref="BL84">_xlfn.TEXTJOIN(" ", TRUE, _xlfn._xlws.FILTER(C84:BJ84, MOD(COLUMN(C84:BJ84)-COLUMN(BN84),2)=0))</f>
        <v>AVERAGE PARTICIPATION IN CLASS NEUTRAL PARTICIPATION AVERAGE PARTICIPATION  AVERAGE PERFORMANCE AVERAGE PARTICIPATION SHOWING PROGRESS IN DRAWING CAN IMPROVE SHOWING PROGRESS IN DRAWING</v>
      </c>
      <c r="BO84" s="8"/>
    </row>
    <row r="85" spans="1:67" ht="14.35" customHeight="1" x14ac:dyDescent="0.45">
      <c r="A85" s="29"/>
      <c r="B85" s="8" t="s">
        <v>44</v>
      </c>
      <c r="C85" s="9">
        <v>50</v>
      </c>
      <c r="D85" s="14" t="s">
        <v>108</v>
      </c>
      <c r="E85" s="8">
        <v>50</v>
      </c>
      <c r="F85" s="10" t="s">
        <v>113</v>
      </c>
      <c r="G85" s="8">
        <v>50</v>
      </c>
      <c r="H85" s="10" t="s">
        <v>142</v>
      </c>
      <c r="I85" s="8">
        <v>50</v>
      </c>
      <c r="J85" s="10" t="s">
        <v>145</v>
      </c>
      <c r="O85" s="10">
        <v>50</v>
      </c>
      <c r="P85" s="10" t="s">
        <v>271</v>
      </c>
      <c r="Q85" s="25">
        <v>85</v>
      </c>
      <c r="R85" s="10" t="s">
        <v>330</v>
      </c>
      <c r="BK85" s="8">
        <f>IFERROR(AVERAGEIF(C85:BI85,"&lt;&gt;nill"), "")</f>
        <v>55.833333333333336</v>
      </c>
      <c r="BL85" s="11" t="str" cm="1">
        <f t="array" ref="BL85">_xlfn.TEXTJOIN(" ", TRUE, _xlfn._xlws.FILTER(C85:BJ85, MOD(COLUMN(C85:BJ85)-COLUMN(BN85),2)=0))</f>
        <v>GOOD IN READING SHOWING INTEREST IN READING SHOWING SOME INTEREST NEEDTO IMPROVE VOCABULARY INTERESTED IN READING INTERESTED IN READING BOOKS, PREFER COMIC BOOKS TO READ</v>
      </c>
      <c r="BO85" s="8"/>
    </row>
    <row r="86" spans="1:67" ht="14.35" customHeight="1" x14ac:dyDescent="0.45">
      <c r="A86" s="29"/>
      <c r="B86" s="8" t="s">
        <v>45</v>
      </c>
      <c r="D86" s="15"/>
      <c r="E86" s="8"/>
      <c r="I86" s="8"/>
      <c r="BK86" s="8" t="str">
        <f t="shared" si="1"/>
        <v/>
      </c>
      <c r="BL86" s="11" t="str" cm="1">
        <f t="array" ref="BL86">_xlfn.TEXTJOIN(" ", TRUE, _xlfn._xlws.FILTER(C86:BJ86, MOD(COLUMN(C86:BJ86)-COLUMN(BN86),2)=0))</f>
        <v/>
      </c>
      <c r="BO86" s="8"/>
    </row>
    <row r="87" spans="1:67" ht="14.35" customHeight="1" x14ac:dyDescent="0.45">
      <c r="A87" s="29" t="s">
        <v>60</v>
      </c>
      <c r="B87" s="8" t="s">
        <v>40</v>
      </c>
      <c r="D87" s="15"/>
      <c r="E87" s="8"/>
      <c r="I87" s="8"/>
      <c r="K87" s="10">
        <v>74</v>
      </c>
      <c r="L87" s="10" t="s">
        <v>230</v>
      </c>
      <c r="BK87" s="8">
        <f t="shared" si="1"/>
        <v>74</v>
      </c>
      <c r="BL87" s="11" t="str" cm="1">
        <f t="array" ref="BL87">_xlfn.TEXTJOIN(" ", TRUE, _xlfn._xlws.FILTER(C87:BJ87, MOD(COLUMN(C87:BJ87)-COLUMN(BN87),2)=0))</f>
        <v>INTERESTED IN ENGLISH,SOCIAL&amp;SCIENCE</v>
      </c>
      <c r="BO87" s="8"/>
    </row>
    <row r="88" spans="1:67" ht="14.35" customHeight="1" x14ac:dyDescent="0.45">
      <c r="A88" s="29"/>
      <c r="B88" s="8" t="s">
        <v>41</v>
      </c>
      <c r="D88" s="14" t="s">
        <v>80</v>
      </c>
      <c r="E88" s="8">
        <v>25</v>
      </c>
      <c r="F88" s="10" t="s">
        <v>107</v>
      </c>
      <c r="G88" s="8">
        <v>50</v>
      </c>
      <c r="H88" s="10" t="s">
        <v>136</v>
      </c>
      <c r="I88" s="8">
        <v>50</v>
      </c>
      <c r="J88" s="10" t="s">
        <v>136</v>
      </c>
      <c r="M88" s="19">
        <v>65</v>
      </c>
      <c r="N88" s="10" t="s">
        <v>277</v>
      </c>
      <c r="Q88" s="25">
        <v>85</v>
      </c>
      <c r="R88" s="10" t="s">
        <v>314</v>
      </c>
      <c r="BK88" s="8">
        <f t="shared" si="1"/>
        <v>55</v>
      </c>
      <c r="BL88" s="11" t="str" cm="1">
        <f t="array" ref="BL88">_xlfn.TEXTJOIN(" ", TRUE, _xlfn._xlws.FILTER(C88:BJ88, MOD(COLUMN(C88:BJ88)-COLUMN(BN88),2)=0))</f>
        <v>NO CLASS DUE TO HOLIDAY PLAYING WITHOUT ANY AIM PLAYING WELL IN SHUTTLE PLAYING WELL IN SHUTTLE PLAYING WELL SHORT CRICKET INTERESTED IN BADMINTON&amp;CRICKET PREFER BATTING IN CRICKET</v>
      </c>
      <c r="BO88" s="8"/>
    </row>
    <row r="89" spans="1:67" ht="14.35" customHeight="1" x14ac:dyDescent="0.45">
      <c r="A89" s="29"/>
      <c r="B89" s="8" t="s">
        <v>42</v>
      </c>
      <c r="C89" s="8"/>
      <c r="D89" s="14" t="s">
        <v>80</v>
      </c>
      <c r="E89" s="8">
        <v>50</v>
      </c>
      <c r="F89" s="10" t="s">
        <v>88</v>
      </c>
      <c r="G89" s="8">
        <v>75</v>
      </c>
      <c r="H89" s="10" t="s">
        <v>137</v>
      </c>
      <c r="I89" s="19">
        <v>65</v>
      </c>
      <c r="J89" s="10" t="s">
        <v>88</v>
      </c>
      <c r="M89" s="19">
        <v>65</v>
      </c>
      <c r="N89" s="10" t="s">
        <v>276</v>
      </c>
      <c r="Q89" s="26">
        <v>80</v>
      </c>
      <c r="R89" s="10" t="s">
        <v>304</v>
      </c>
      <c r="BK89" s="8">
        <f t="shared" si="1"/>
        <v>67</v>
      </c>
      <c r="BL89" s="11" t="str" cm="1">
        <f t="array" ref="BL89">_xlfn.TEXTJOIN(" ", TRUE, _xlfn._xlws.FILTER(C89:BJ89, MOD(COLUMN(C89:BJ89)-COLUMN(BN89),2)=0))</f>
        <v>NO CLASS DUE TO HOLIDAY PERFORMING WELL NEED MOTIVATION,CAN IMPROVE SHOWING INTEREST NEED PRACTICE PERFORMING WELL NEED MOTIVATION,CAN IMPROVE PERFORMING WELL NEED MORE PRACTICE KNOWS BASIC SKILLS LIKE DRAWING &amp;TYPING</v>
      </c>
      <c r="BO89" s="8"/>
    </row>
    <row r="90" spans="1:67" ht="14.35" customHeight="1" x14ac:dyDescent="0.45">
      <c r="A90" s="29"/>
      <c r="B90" s="8" t="s">
        <v>43</v>
      </c>
      <c r="C90" s="8">
        <v>25</v>
      </c>
      <c r="D90" s="15" t="s">
        <v>96</v>
      </c>
      <c r="E90" s="16">
        <v>50</v>
      </c>
      <c r="F90" s="10" t="s">
        <v>86</v>
      </c>
      <c r="G90" s="16">
        <v>65</v>
      </c>
      <c r="H90" s="10" t="s">
        <v>86</v>
      </c>
      <c r="I90" s="8">
        <v>50</v>
      </c>
      <c r="J90" s="10" t="s">
        <v>134</v>
      </c>
      <c r="M90" s="10" t="s">
        <v>79</v>
      </c>
      <c r="N90" s="10" t="s">
        <v>79</v>
      </c>
      <c r="O90" s="24">
        <v>60</v>
      </c>
      <c r="P90" s="10" t="s">
        <v>294</v>
      </c>
      <c r="Q90" s="26">
        <v>80</v>
      </c>
      <c r="R90" s="10" t="s">
        <v>245</v>
      </c>
      <c r="BK90" s="8">
        <f t="shared" si="1"/>
        <v>55</v>
      </c>
      <c r="BL90" s="11" t="str" cm="1">
        <f t="array" ref="BL90">_xlfn.TEXTJOIN(" ", TRUE, _xlfn._xlws.FILTER(C90:BJ90, MOD(COLUMN(C90:BJ90)-COLUMN(BN90),2)=0))</f>
        <v>NEUTRAL PARTICIPATION IN CLASS DOING GOOD NEED MORE PRACTICE DOING GOOD NEED MORE PRACTICE AVERAGE PERFORMANCE AB NEED PRACTICE CAN IMPROVE SHOWING PROGRESS IN DRAWING</v>
      </c>
      <c r="BO90" s="8"/>
    </row>
    <row r="91" spans="1:67" ht="14.35" customHeight="1" x14ac:dyDescent="0.45">
      <c r="A91" s="29"/>
      <c r="B91" s="8" t="s">
        <v>44</v>
      </c>
      <c r="C91" s="10">
        <v>25</v>
      </c>
      <c r="D91" s="15" t="s">
        <v>96</v>
      </c>
      <c r="E91" s="8">
        <v>25</v>
      </c>
      <c r="F91" s="10" t="s">
        <v>82</v>
      </c>
      <c r="G91" s="9">
        <v>50</v>
      </c>
      <c r="H91" s="14" t="s">
        <v>108</v>
      </c>
      <c r="I91" s="8">
        <v>50</v>
      </c>
      <c r="J91" s="10" t="s">
        <v>150</v>
      </c>
      <c r="N91" s="10" t="s">
        <v>216</v>
      </c>
      <c r="O91" s="10">
        <v>55</v>
      </c>
      <c r="P91" s="10" t="s">
        <v>272</v>
      </c>
      <c r="Q91" s="26">
        <v>80</v>
      </c>
      <c r="R91" s="10" t="s">
        <v>315</v>
      </c>
      <c r="BK91" s="8">
        <f t="shared" si="1"/>
        <v>47.5</v>
      </c>
      <c r="BL91" s="11" t="str" cm="1">
        <f t="array" ref="BL91">_xlfn.TEXTJOIN(" ", TRUE, _xlfn._xlws.FILTER(C91:BJ91, MOD(COLUMN(C91:BJ91)-COLUMN(BN91),2)=0))</f>
        <v>NEUTRAL PARTICIPATION IN CLASS NEUTRAL PARTICIPATION GOOD IN READING SHOWING INTEREST IN READING INTERESTED IN MORAL STORIES CLASS CANCELLED INTERSTED   IN READING BOOKS,WELL IN VOCABULARY PREFER HORROR STORIES TO READ</v>
      </c>
      <c r="BO91" s="8"/>
    </row>
    <row r="92" spans="1:67" ht="14.35" customHeight="1" x14ac:dyDescent="0.45">
      <c r="A92" s="29"/>
      <c r="B92" s="8" t="s">
        <v>45</v>
      </c>
      <c r="D92" s="15"/>
      <c r="E92" s="8"/>
      <c r="I92" s="8"/>
      <c r="BK92" s="8" t="str">
        <f t="shared" si="1"/>
        <v/>
      </c>
      <c r="BL92" s="11" t="str" cm="1">
        <f t="array" ref="BL92">_xlfn.TEXTJOIN(" ", TRUE, _xlfn._xlws.FILTER(C92:BJ92, MOD(COLUMN(C92:BJ92)-COLUMN(BN92),2)=0))</f>
        <v/>
      </c>
      <c r="BO92" s="8"/>
    </row>
    <row r="93" spans="1:67" ht="14.35" customHeight="1" x14ac:dyDescent="0.45">
      <c r="A93" s="29" t="s">
        <v>61</v>
      </c>
      <c r="B93" s="8" t="s">
        <v>40</v>
      </c>
      <c r="D93" s="15"/>
      <c r="E93" s="8"/>
      <c r="I93" s="8"/>
      <c r="K93" s="8">
        <v>75</v>
      </c>
      <c r="L93" s="10" t="s">
        <v>189</v>
      </c>
      <c r="BK93" s="8">
        <f t="shared" si="1"/>
        <v>75</v>
      </c>
      <c r="BL93" s="11" t="str" cm="1">
        <f t="array" ref="BL93">_xlfn.TEXTJOIN(" ", TRUE, _xlfn._xlws.FILTER(C93:BJ93, MOD(COLUMN(C93:BJ93)-COLUMN(BN93),2)=0))</f>
        <v>INTERSESTED IN SCIENCE ESPECIALLY IN ACID &amp; BASES</v>
      </c>
      <c r="BO93" s="8"/>
    </row>
    <row r="94" spans="1:67" ht="14.35" customHeight="1" x14ac:dyDescent="0.45">
      <c r="A94" s="29"/>
      <c r="B94" s="8" t="s">
        <v>41</v>
      </c>
      <c r="D94" s="14" t="s">
        <v>80</v>
      </c>
      <c r="E94" s="8">
        <v>25</v>
      </c>
      <c r="F94" s="10" t="s">
        <v>107</v>
      </c>
      <c r="G94" s="8">
        <v>50</v>
      </c>
      <c r="H94" s="10" t="s">
        <v>136</v>
      </c>
      <c r="I94" s="8">
        <v>50</v>
      </c>
      <c r="J94" s="10" t="s">
        <v>136</v>
      </c>
      <c r="K94" s="8">
        <v>75</v>
      </c>
      <c r="L94" s="10" t="s">
        <v>179</v>
      </c>
      <c r="M94" s="19">
        <v>65</v>
      </c>
      <c r="N94" s="10" t="s">
        <v>277</v>
      </c>
      <c r="Q94" s="28">
        <v>95</v>
      </c>
      <c r="R94" s="10" t="s">
        <v>332</v>
      </c>
      <c r="BK94" s="8">
        <f t="shared" si="1"/>
        <v>60</v>
      </c>
      <c r="BL94" s="11" t="str" cm="1">
        <f t="array" ref="BL94">_xlfn.TEXTJOIN(" ", TRUE, _xlfn._xlws.FILTER(C94:BJ94, MOD(COLUMN(C94:BJ94)-COLUMN(BN94),2)=0))</f>
        <v>NO CLASS DUE TO HOLIDAY PLAYING WITHOUT ANY AIM PLAYING WELL IN SHUTTLE PLAYING WELL IN SHUTTLE INTERESTED IN CRICKET PLAYING WELL SHORT CRICKET INTERESTED IN FOOTBALL&amp;PARTICIPATED IN 200MTS RUNNING RACE</v>
      </c>
      <c r="BO94" s="8"/>
    </row>
    <row r="95" spans="1:67" ht="14.35" customHeight="1" x14ac:dyDescent="0.45">
      <c r="A95" s="29"/>
      <c r="B95" s="8" t="s">
        <v>42</v>
      </c>
      <c r="C95" s="8"/>
      <c r="D95" s="14" t="s">
        <v>80</v>
      </c>
      <c r="E95" s="8">
        <v>50</v>
      </c>
      <c r="F95" s="10" t="s">
        <v>88</v>
      </c>
      <c r="G95" s="8">
        <v>75</v>
      </c>
      <c r="H95" s="10" t="s">
        <v>137</v>
      </c>
      <c r="I95" s="19">
        <v>65</v>
      </c>
      <c r="J95" s="10" t="s">
        <v>88</v>
      </c>
      <c r="K95" s="8"/>
      <c r="M95" s="19">
        <v>65</v>
      </c>
      <c r="N95" s="10" t="s">
        <v>276</v>
      </c>
      <c r="Q95" s="26">
        <v>80</v>
      </c>
      <c r="R95" s="10" t="s">
        <v>334</v>
      </c>
      <c r="BK95" s="8">
        <f t="shared" si="1"/>
        <v>67</v>
      </c>
      <c r="BL95" s="11" t="str" cm="1">
        <f t="array" ref="BL95">_xlfn.TEXTJOIN(" ", TRUE, _xlfn._xlws.FILTER(C95:BJ95, MOD(COLUMN(C95:BJ95)-COLUMN(BN95),2)=0))</f>
        <v>NO CLASS DUE TO HOLIDAY PERFORMING WELL NEED MOTIVATION,CAN IMPROVE SHOWING INTEREST NEED PRACTICE PERFORMING WELL NEED MOTIVATION,CAN IMPROVE PERFORMING WELL NEED MORE PRACTICE KNOWS BASIC SKILLS LIKE DRAWING &amp;TYPING PRACTICE AT HOME ALSO</v>
      </c>
      <c r="BO95" s="8"/>
    </row>
    <row r="96" spans="1:67" ht="14.35" customHeight="1" x14ac:dyDescent="0.45">
      <c r="A96" s="29"/>
      <c r="B96" s="8" t="s">
        <v>43</v>
      </c>
      <c r="C96" s="8">
        <v>25</v>
      </c>
      <c r="D96" s="15" t="s">
        <v>96</v>
      </c>
      <c r="E96" s="8">
        <v>25</v>
      </c>
      <c r="F96" s="10" t="s">
        <v>122</v>
      </c>
      <c r="G96" s="8" t="s">
        <v>79</v>
      </c>
      <c r="H96" s="10" t="s">
        <v>79</v>
      </c>
      <c r="I96" s="8" t="s">
        <v>79</v>
      </c>
      <c r="J96" s="10" t="s">
        <v>131</v>
      </c>
      <c r="K96" s="8"/>
      <c r="M96" s="10">
        <v>75</v>
      </c>
      <c r="N96" s="10" t="s">
        <v>240</v>
      </c>
      <c r="O96" s="24">
        <v>60</v>
      </c>
      <c r="P96" s="10" t="s">
        <v>302</v>
      </c>
      <c r="Q96" s="26">
        <v>80</v>
      </c>
      <c r="R96" s="10" t="s">
        <v>245</v>
      </c>
      <c r="BK96" s="8">
        <f t="shared" si="1"/>
        <v>53</v>
      </c>
      <c r="BL96" s="11" t="str" cm="1">
        <f t="array" ref="BL96">_xlfn.TEXTJOIN(" ", TRUE, _xlfn._xlws.FILTER(C96:BJ96, MOD(COLUMN(C96:BJ96)-COLUMN(BN96),2)=0))</f>
        <v>NEUTRAL PARTICIPATION IN CLASS DISTURBING OTHERS AB ABSENT ESTABLISHING A CENTER LINE TO ENSURE THE LEFT&amp;RIGHT SIDE OF THE FIGURE RECHECK THE CURVES AND FINISHING OF THE FIGURE SHOWING PROGRESS IN DRAWING</v>
      </c>
      <c r="BO96" s="8"/>
    </row>
    <row r="97" spans="1:67" ht="14.35" customHeight="1" x14ac:dyDescent="0.45">
      <c r="A97" s="29"/>
      <c r="B97" s="8" t="s">
        <v>44</v>
      </c>
      <c r="C97" s="9">
        <v>50</v>
      </c>
      <c r="D97" s="14" t="s">
        <v>108</v>
      </c>
      <c r="E97" s="8">
        <v>50</v>
      </c>
      <c r="F97" s="10" t="s">
        <v>117</v>
      </c>
      <c r="G97" s="8">
        <v>50</v>
      </c>
      <c r="H97" s="10" t="s">
        <v>146</v>
      </c>
      <c r="I97" s="8">
        <v>50</v>
      </c>
      <c r="J97" s="22" t="s">
        <v>108</v>
      </c>
      <c r="K97" s="8"/>
      <c r="N97" s="10" t="s">
        <v>216</v>
      </c>
      <c r="O97" s="10">
        <v>55</v>
      </c>
      <c r="P97" s="10" t="s">
        <v>273</v>
      </c>
      <c r="Q97" s="26">
        <v>80</v>
      </c>
      <c r="R97" s="10" t="s">
        <v>337</v>
      </c>
      <c r="BK97" s="8">
        <f t="shared" si="1"/>
        <v>55.833333333333336</v>
      </c>
      <c r="BL97" s="11" t="str" cm="1">
        <f t="array" ref="BL97">_xlfn.TEXTJOIN(" ", TRUE, _xlfn._xlws.FILTER(C97:BJ97, MOD(COLUMN(C97:BJ97)-COLUMN(BN97),2)=0))</f>
        <v>GOOD IN READING SHOWING INTEREST IN READING NEED MORE CONCENTRATION READING WELL GOOD IN READING SHOWING INTEREST IN READING CLASS CANCELLED GOOD IN READING  PREFER TO READ KAKOLUKIYAM [PANCHATANTRA ]</v>
      </c>
      <c r="BO97" s="8"/>
    </row>
    <row r="98" spans="1:67" ht="14.35" customHeight="1" x14ac:dyDescent="0.45">
      <c r="A98" s="29"/>
      <c r="B98" s="8" t="s">
        <v>45</v>
      </c>
      <c r="D98" s="15"/>
      <c r="E98" s="8"/>
      <c r="I98" s="8"/>
      <c r="BK98" s="8" t="str">
        <f t="shared" si="1"/>
        <v/>
      </c>
      <c r="BL98" s="11" t="str" cm="1">
        <f t="array" ref="BL98">_xlfn.TEXTJOIN(" ", TRUE, _xlfn._xlws.FILTER(C98:BJ98, MOD(COLUMN(C98:BJ98)-COLUMN(BN98),2)=0))</f>
        <v/>
      </c>
      <c r="BO98" s="8"/>
    </row>
    <row r="99" spans="1:67" ht="14.35" customHeight="1" x14ac:dyDescent="0.45">
      <c r="A99" s="29" t="s">
        <v>62</v>
      </c>
      <c r="B99" s="8" t="s">
        <v>40</v>
      </c>
      <c r="D99" s="15"/>
      <c r="E99" s="8"/>
      <c r="I99" s="8"/>
      <c r="K99" s="19">
        <v>55</v>
      </c>
      <c r="L99" s="10" t="s">
        <v>180</v>
      </c>
      <c r="BK99" s="8">
        <f t="shared" si="1"/>
        <v>55</v>
      </c>
      <c r="BL99" s="11" t="str" cm="1">
        <f t="array" ref="BL99">_xlfn.TEXTJOIN(" ", TRUE, _xlfn._xlws.FILTER(C99:BJ99, MOD(COLUMN(C99:BJ99)-COLUMN(BN99),2)=0))</f>
        <v>INTERESTED IN SCIENCE</v>
      </c>
      <c r="BO99" s="8"/>
    </row>
    <row r="100" spans="1:67" ht="14.35" customHeight="1" x14ac:dyDescent="0.45">
      <c r="A100" s="29"/>
      <c r="B100" s="8" t="s">
        <v>41</v>
      </c>
      <c r="D100" s="14" t="s">
        <v>80</v>
      </c>
      <c r="E100" s="8">
        <v>25</v>
      </c>
      <c r="F100" s="10" t="s">
        <v>107</v>
      </c>
      <c r="G100" s="8">
        <v>50</v>
      </c>
      <c r="H100" s="10" t="s">
        <v>136</v>
      </c>
      <c r="I100" s="8">
        <v>50</v>
      </c>
      <c r="J100" s="10" t="s">
        <v>136</v>
      </c>
      <c r="K100" s="8">
        <v>75</v>
      </c>
      <c r="L100" s="10" t="s">
        <v>204</v>
      </c>
      <c r="M100" s="19">
        <v>65</v>
      </c>
      <c r="N100" s="10" t="s">
        <v>277</v>
      </c>
      <c r="Q100" s="28">
        <v>95</v>
      </c>
      <c r="R100" s="10" t="s">
        <v>339</v>
      </c>
      <c r="BK100" s="8">
        <f t="shared" si="1"/>
        <v>60</v>
      </c>
      <c r="BL100" s="11" t="str" cm="1">
        <f t="array" ref="BL100">_xlfn.TEXTJOIN(" ", TRUE, _xlfn._xlws.FILTER(C100:BJ100, MOD(COLUMN(C100:BJ100)-COLUMN(BN100),2)=0))</f>
        <v>NO CLASS DUE TO HOLIDAY PLAYING WITHOUT ANY AIM PLAYING WELL IN SHUTTLE PLAYING WELL IN SHUTTLE INTERESTED IN FOOD BALL PLAYING WELL SHORT CRICKET INTERESTED IN FOOTBALL,CRICKET&amp;PARTICIPATED IN 200MTS RUNNING RACE WON 2ND PRIZE</v>
      </c>
      <c r="BO100" s="8"/>
    </row>
    <row r="101" spans="1:67" ht="14.35" customHeight="1" x14ac:dyDescent="0.45">
      <c r="A101" s="29"/>
      <c r="B101" s="8" t="s">
        <v>42</v>
      </c>
      <c r="C101" s="8"/>
      <c r="D101" s="14" t="s">
        <v>80</v>
      </c>
      <c r="E101" s="8">
        <v>50</v>
      </c>
      <c r="F101" s="10" t="s">
        <v>88</v>
      </c>
      <c r="G101" s="8">
        <v>75</v>
      </c>
      <c r="H101" s="10" t="s">
        <v>137</v>
      </c>
      <c r="I101" s="19">
        <v>65</v>
      </c>
      <c r="J101" s="10" t="s">
        <v>88</v>
      </c>
      <c r="K101" s="8">
        <v>75</v>
      </c>
      <c r="L101" s="10" t="s">
        <v>188</v>
      </c>
      <c r="M101" s="19">
        <v>65</v>
      </c>
      <c r="N101" s="10" t="s">
        <v>276</v>
      </c>
      <c r="Q101" s="26">
        <v>80</v>
      </c>
      <c r="R101" s="10" t="s">
        <v>334</v>
      </c>
      <c r="BK101" s="8">
        <f t="shared" si="1"/>
        <v>68.333333333333329</v>
      </c>
      <c r="BL101" s="11" t="str" cm="1">
        <f t="array" ref="BL101">_xlfn.TEXTJOIN(" ", TRUE, _xlfn._xlws.FILTER(C101:BJ101, MOD(COLUMN(C101:BJ101)-COLUMN(BN101),2)=0))</f>
        <v>NO CLASS DUE TO HOLIDAY PERFORMING WELL NEED MOTIVATION,CAN IMPROVE SHOWING INTEREST NEED PRACTICE PERFORMING WELL NEED MOTIVATION,CAN IMPROVE INTERESTED IN DRAWING IN COMPUTER PERFORMING WELL NEED MORE PRACTICE KNOWS BASIC SKILLS LIKE DRAWING &amp;TYPING PRACTICE AT HOME ALSO</v>
      </c>
      <c r="BO101" s="8"/>
    </row>
    <row r="102" spans="1:67" ht="14.35" customHeight="1" x14ac:dyDescent="0.45">
      <c r="A102" s="29"/>
      <c r="B102" s="8" t="s">
        <v>43</v>
      </c>
      <c r="C102" s="8">
        <v>50</v>
      </c>
      <c r="D102" s="15" t="s">
        <v>99</v>
      </c>
      <c r="E102" s="8">
        <v>50</v>
      </c>
      <c r="F102" s="10" t="s">
        <v>85</v>
      </c>
      <c r="G102" s="8">
        <v>75</v>
      </c>
      <c r="H102" s="10" t="s">
        <v>85</v>
      </c>
      <c r="I102" s="8">
        <v>25</v>
      </c>
      <c r="J102" s="10" t="s">
        <v>125</v>
      </c>
      <c r="K102" s="8">
        <v>75</v>
      </c>
      <c r="L102" s="10" t="s">
        <v>203</v>
      </c>
      <c r="M102" s="10">
        <v>75</v>
      </c>
      <c r="N102" s="10" t="s">
        <v>241</v>
      </c>
      <c r="O102" s="24">
        <v>60</v>
      </c>
      <c r="P102" s="10" t="s">
        <v>301</v>
      </c>
      <c r="Q102" s="26">
        <v>80</v>
      </c>
      <c r="R102" s="10" t="s">
        <v>245</v>
      </c>
      <c r="BK102" s="8">
        <f t="shared" si="1"/>
        <v>61.25</v>
      </c>
      <c r="BL102" s="11" t="str" cm="1">
        <f t="array" ref="BL102">_xlfn.TEXTJOIN(" ", TRUE, _xlfn._xlws.FILTER(C102:BJ102, MOD(COLUMN(C102:BJ102)-COLUMN(BN102),2)=0))</f>
        <v>AVERAGE PARTICIPATION IN CLASS SIMPLIFYING THE CONTOUR NEATLY SIMPLIFYING THE CONTOUR NEATLY NEUTRAL PERFORMANCE INTERESTED IN ANIME DRAWINGS THE SLIGHT CURVE AT THE BOTTTOM INTERIOR NEED TO RECHECK DOING GOOD CAN DO BETTER SHOWING PROGRESS IN DRAWING</v>
      </c>
      <c r="BO102" s="8"/>
    </row>
    <row r="103" spans="1:67" ht="14.35" customHeight="1" x14ac:dyDescent="0.45">
      <c r="A103" s="29"/>
      <c r="B103" s="8" t="s">
        <v>44</v>
      </c>
      <c r="C103" s="9">
        <v>50</v>
      </c>
      <c r="D103" s="14" t="s">
        <v>108</v>
      </c>
      <c r="E103" s="8">
        <v>50</v>
      </c>
      <c r="F103" s="10" t="s">
        <v>118</v>
      </c>
      <c r="G103" s="8">
        <v>50</v>
      </c>
      <c r="H103" s="10" t="s">
        <v>146</v>
      </c>
      <c r="I103" s="8">
        <v>50</v>
      </c>
      <c r="J103" s="14" t="s">
        <v>108</v>
      </c>
      <c r="K103" s="8">
        <v>75</v>
      </c>
      <c r="L103" s="10" t="s">
        <v>158</v>
      </c>
      <c r="N103" s="10" t="s">
        <v>216</v>
      </c>
      <c r="O103" s="10">
        <v>70</v>
      </c>
      <c r="P103" s="10" t="s">
        <v>274</v>
      </c>
      <c r="Q103" s="26">
        <v>80</v>
      </c>
      <c r="R103" s="10" t="s">
        <v>333</v>
      </c>
      <c r="BK103" s="8">
        <f t="shared" si="1"/>
        <v>60.714285714285715</v>
      </c>
      <c r="BL103" s="11" t="str" cm="1">
        <f t="array" ref="BL103">_xlfn.TEXTJOIN(" ", TRUE, _xlfn._xlws.FILTER(C103:BJ103, MOD(COLUMN(C103:BJ103)-COLUMN(BN103),2)=0))</f>
        <v>GOOD IN READING SHOWING INTEREST IN READING TRYING TO TELL TEACHER THE STORY READING WELL GOOD IN READING SHOWING INTEREST IN READING INTERESTED IN ANIME BOOKS CLASS CANCELLED GOOD IN READING , FOCUSED IN READING PREFER TO READ COMIC BOOKS</v>
      </c>
      <c r="BO103" s="8"/>
    </row>
    <row r="104" spans="1:67" ht="14.35" customHeight="1" x14ac:dyDescent="0.45">
      <c r="A104" s="29"/>
      <c r="B104" s="8" t="s">
        <v>45</v>
      </c>
      <c r="C104" s="8"/>
      <c r="D104" s="15"/>
      <c r="E104" s="8"/>
      <c r="I104" s="8"/>
      <c r="BK104" s="8" t="str">
        <f t="shared" si="1"/>
        <v/>
      </c>
      <c r="BL104" s="11" t="str" cm="1">
        <f t="array" ref="BL104">_xlfn.TEXTJOIN(" ", TRUE, _xlfn._xlws.FILTER(C104:BJ104, MOD(COLUMN(C104:BJ104)-COLUMN(BN104),2)=0))</f>
        <v/>
      </c>
      <c r="BO104" s="8"/>
    </row>
    <row r="105" spans="1:67" ht="14.35" customHeight="1" x14ac:dyDescent="0.45">
      <c r="A105" s="29" t="s">
        <v>63</v>
      </c>
      <c r="B105" s="8" t="s">
        <v>40</v>
      </c>
      <c r="C105" s="8"/>
      <c r="D105" s="15"/>
      <c r="E105" s="8"/>
      <c r="I105" s="8"/>
      <c r="K105" s="8">
        <v>64</v>
      </c>
      <c r="L105" s="10" t="s">
        <v>190</v>
      </c>
      <c r="BK105" s="8">
        <f t="shared" si="1"/>
        <v>64</v>
      </c>
      <c r="BL105" s="11" t="str" cm="1">
        <f t="array" ref="BL105">_xlfn.TEXTJOIN(" ", TRUE, _xlfn._xlws.FILTER(C105:BJ105, MOD(COLUMN(C105:BJ105)-COLUMN(BN105),2)=0))</f>
        <v>INTERESTED IN  SCIENCE ESPECIALLY IN ACID &amp; BASES</v>
      </c>
      <c r="BO105" s="8"/>
    </row>
    <row r="106" spans="1:67" ht="14.35" customHeight="1" x14ac:dyDescent="0.45">
      <c r="A106" s="29"/>
      <c r="B106" s="8" t="s">
        <v>41</v>
      </c>
      <c r="C106" s="8"/>
      <c r="D106" s="14" t="s">
        <v>80</v>
      </c>
      <c r="E106" s="8">
        <v>25</v>
      </c>
      <c r="F106" s="10" t="s">
        <v>107</v>
      </c>
      <c r="G106" s="8">
        <v>50</v>
      </c>
      <c r="H106" s="10" t="s">
        <v>136</v>
      </c>
      <c r="I106" s="8">
        <v>50</v>
      </c>
      <c r="J106" s="10" t="s">
        <v>136</v>
      </c>
      <c r="K106" s="8">
        <v>75</v>
      </c>
      <c r="L106" s="10" t="s">
        <v>179</v>
      </c>
      <c r="M106" s="19">
        <v>65</v>
      </c>
      <c r="N106" s="10" t="s">
        <v>277</v>
      </c>
      <c r="Q106" s="28">
        <v>95</v>
      </c>
      <c r="R106" s="10" t="s">
        <v>316</v>
      </c>
      <c r="BK106" s="8">
        <f t="shared" si="1"/>
        <v>60</v>
      </c>
      <c r="BL106" s="11" t="str" cm="1">
        <f t="array" ref="BL106">_xlfn.TEXTJOIN(" ", TRUE, _xlfn._xlws.FILTER(C106:BJ106, MOD(COLUMN(C106:BJ106)-COLUMN(BN106),2)=0))</f>
        <v>NO CLASS DUE TO HOLIDAY PLAYING WITHOUT ANY AIM PLAYING WELL IN SHUTTLE PLAYING WELL IN SHUTTLE INTERESTED IN CRICKET PLAYING WELL SHORT CRICKET INTERESTED IN BADMINTON ,FOOTBALL,VOLLEYBALL&amp;CRICKET</v>
      </c>
      <c r="BO106" s="8"/>
    </row>
    <row r="107" spans="1:67" ht="14.35" customHeight="1" x14ac:dyDescent="0.45">
      <c r="A107" s="29"/>
      <c r="B107" s="8" t="s">
        <v>42</v>
      </c>
      <c r="C107" s="8"/>
      <c r="D107" s="14" t="s">
        <v>80</v>
      </c>
      <c r="E107" s="8">
        <v>50</v>
      </c>
      <c r="F107" s="10" t="s">
        <v>88</v>
      </c>
      <c r="G107" s="8">
        <v>75</v>
      </c>
      <c r="H107" s="10" t="s">
        <v>137</v>
      </c>
      <c r="I107" s="19">
        <v>65</v>
      </c>
      <c r="J107" s="10" t="s">
        <v>88</v>
      </c>
      <c r="K107" s="19">
        <v>65</v>
      </c>
      <c r="L107" s="10" t="s">
        <v>153</v>
      </c>
      <c r="M107" s="19">
        <v>65</v>
      </c>
      <c r="N107" s="10" t="s">
        <v>276</v>
      </c>
      <c r="Q107" s="26">
        <v>80</v>
      </c>
      <c r="R107" s="10" t="s">
        <v>304</v>
      </c>
      <c r="BK107" s="8">
        <f t="shared" si="1"/>
        <v>66.666666666666671</v>
      </c>
      <c r="BL107" s="11" t="str" cm="1">
        <f t="array" ref="BL107">_xlfn.TEXTJOIN(" ", TRUE, _xlfn._xlws.FILTER(C107:BJ107, MOD(COLUMN(C107:BJ107)-COLUMN(BN107),2)=0))</f>
        <v>NO CLASS DUE TO HOLIDAY PERFORMING WELL NEED MOTIVATION,CAN IMPROVE SHOWING INTEREST NEED PRACTICE PERFORMING WELL NEED MOTIVATION,CAN IMPROVE INTERESTED IN TYPING PERFORMING WELL NEED MORE PRACTICE KNOWS BASIC SKILLS LIKE DRAWING &amp;TYPING</v>
      </c>
      <c r="BO107" s="8"/>
    </row>
    <row r="108" spans="1:67" ht="14.35" customHeight="1" x14ac:dyDescent="0.45">
      <c r="A108" s="29"/>
      <c r="B108" s="8" t="s">
        <v>43</v>
      </c>
      <c r="C108" s="8">
        <v>25</v>
      </c>
      <c r="D108" s="15" t="s">
        <v>96</v>
      </c>
      <c r="E108" s="8">
        <v>50</v>
      </c>
      <c r="F108" s="10" t="s">
        <v>88</v>
      </c>
      <c r="G108" s="8">
        <v>75</v>
      </c>
      <c r="H108" s="10" t="s">
        <v>88</v>
      </c>
      <c r="I108" s="8" t="s">
        <v>79</v>
      </c>
      <c r="J108" s="10" t="s">
        <v>131</v>
      </c>
      <c r="K108" s="8">
        <v>75</v>
      </c>
      <c r="L108" s="10" t="s">
        <v>191</v>
      </c>
      <c r="M108" s="10">
        <v>70</v>
      </c>
      <c r="N108" s="10" t="s">
        <v>242</v>
      </c>
      <c r="O108" s="24">
        <v>60</v>
      </c>
      <c r="P108" s="10" t="s">
        <v>93</v>
      </c>
      <c r="Q108" s="26">
        <v>80</v>
      </c>
      <c r="R108" s="10" t="s">
        <v>245</v>
      </c>
      <c r="BK108" s="8">
        <f t="shared" si="1"/>
        <v>62.142857142857146</v>
      </c>
      <c r="BL108" s="11" t="str" cm="1">
        <f t="array" ref="BL108">_xlfn.TEXTJOIN(" ", TRUE, _xlfn._xlws.FILTER(C108:BJ108, MOD(COLUMN(C108:BJ108)-COLUMN(BN108),2)=0))</f>
        <v>NEUTRAL PARTICIPATION IN CLASS PERFORMING WELL NEED MOTIVATION,CAN IMPROVE PERFORMING WELL NEED MOTIVATION,CAN IMPROVE ABSENT INTERSTED IN ANIME DRAWING THE TOP OF THE FIGUTRE ELLIPSES POINT TOWARD THE VANISHING POINTS NEED TO REFINE THE FIGURE SHOWING PROGRESS IN DRAWING</v>
      </c>
      <c r="BO108" s="8"/>
    </row>
    <row r="109" spans="1:67" ht="14.35" customHeight="1" x14ac:dyDescent="0.45">
      <c r="A109" s="29"/>
      <c r="B109" s="8" t="s">
        <v>44</v>
      </c>
      <c r="C109" s="9">
        <v>50</v>
      </c>
      <c r="D109" s="14" t="s">
        <v>108</v>
      </c>
      <c r="E109" s="8">
        <v>50</v>
      </c>
      <c r="F109" s="10" t="s">
        <v>112</v>
      </c>
      <c r="G109" s="8">
        <v>50</v>
      </c>
      <c r="H109" s="10" t="s">
        <v>146</v>
      </c>
      <c r="I109" s="8">
        <v>50</v>
      </c>
      <c r="J109" s="14" t="s">
        <v>108</v>
      </c>
      <c r="K109" s="19">
        <v>65</v>
      </c>
      <c r="L109" s="10" t="s">
        <v>192</v>
      </c>
      <c r="N109" s="10" t="s">
        <v>216</v>
      </c>
      <c r="O109" s="10">
        <v>60</v>
      </c>
      <c r="P109" s="10" t="s">
        <v>275</v>
      </c>
      <c r="Q109" s="26">
        <v>80</v>
      </c>
      <c r="R109" s="10" t="s">
        <v>317</v>
      </c>
      <c r="BK109" s="8">
        <f t="shared" si="1"/>
        <v>57.857142857142854</v>
      </c>
      <c r="BL109" s="11" t="str" cm="1">
        <f t="array" ref="BL109">_xlfn.TEXTJOIN(" ", TRUE, _xlfn._xlws.FILTER(C109:BJ109, MOD(COLUMN(C109:BJ109)-COLUMN(BN109),2)=0))</f>
        <v>GOOD IN READING SHOWING INTEREST IN READING GOOD IN READING READING WELL GOOD IN READING SHOWING INTEREST IN READING INTERESTED IN STORY BOOK CLASS CANCELLED INTERESTED IN  READING DIFFERENT NKIND OF BOOKS PREFER TO READ MORAL STORIES</v>
      </c>
      <c r="BO109" s="8"/>
    </row>
    <row r="110" spans="1:67" ht="14.35" customHeight="1" x14ac:dyDescent="0.45">
      <c r="A110" s="29"/>
      <c r="B110" s="8" t="s">
        <v>45</v>
      </c>
      <c r="C110" s="8"/>
      <c r="D110" s="15"/>
      <c r="E110" s="8"/>
      <c r="I110" s="8"/>
      <c r="BK110" s="8" t="str">
        <f t="shared" si="1"/>
        <v/>
      </c>
      <c r="BL110" s="11" t="str" cm="1">
        <f t="array" ref="BL110">_xlfn.TEXTJOIN(" ", TRUE, _xlfn._xlws.FILTER(C110:BJ110, MOD(COLUMN(C110:BJ110)-COLUMN(BN110),2)=0))</f>
        <v/>
      </c>
      <c r="BO110" s="8"/>
    </row>
    <row r="111" spans="1:67" ht="14.35" customHeight="1" x14ac:dyDescent="0.45">
      <c r="A111" s="29" t="s">
        <v>220</v>
      </c>
      <c r="B111" s="8" t="s">
        <v>40</v>
      </c>
      <c r="C111" s="8"/>
      <c r="D111" s="15"/>
      <c r="E111" s="8"/>
      <c r="I111" s="8"/>
      <c r="K111" s="8">
        <v>48</v>
      </c>
      <c r="L111" s="10" t="s">
        <v>221</v>
      </c>
      <c r="BK111" s="8">
        <f t="shared" si="1"/>
        <v>48</v>
      </c>
      <c r="BL111" s="11" t="str" cm="1">
        <f t="array" ref="BL111">_xlfn.TEXTJOIN(" ", TRUE, _xlfn._xlws.FILTER(C111:BJ111, MOD(COLUMN(C111:BJ111)-COLUMN(BN111),2)=0))</f>
        <v>GOOD IN SOCIAL&amp;ENGLISH</v>
      </c>
      <c r="BO111" s="8"/>
    </row>
    <row r="112" spans="1:67" ht="14.35" customHeight="1" x14ac:dyDescent="0.45">
      <c r="A112" s="29"/>
      <c r="B112" s="8" t="s">
        <v>41</v>
      </c>
      <c r="C112" s="8"/>
      <c r="D112" s="14" t="s">
        <v>80</v>
      </c>
      <c r="E112" s="8">
        <v>25</v>
      </c>
      <c r="F112" s="10" t="s">
        <v>107</v>
      </c>
      <c r="G112" s="8">
        <v>50</v>
      </c>
      <c r="H112" s="10" t="s">
        <v>136</v>
      </c>
      <c r="I112" s="8">
        <v>50</v>
      </c>
      <c r="J112" s="10" t="s">
        <v>136</v>
      </c>
      <c r="K112" s="19">
        <v>65</v>
      </c>
      <c r="L112" s="10" t="s">
        <v>198</v>
      </c>
      <c r="M112" s="19">
        <v>65</v>
      </c>
      <c r="N112" s="10" t="s">
        <v>277</v>
      </c>
      <c r="Q112" s="28">
        <v>95</v>
      </c>
      <c r="R112" s="10" t="s">
        <v>332</v>
      </c>
      <c r="BK112" s="8">
        <f t="shared" si="1"/>
        <v>58.333333333333336</v>
      </c>
      <c r="BL112" s="11" t="str" cm="1">
        <f t="array" ref="BL112">_xlfn.TEXTJOIN(" ", TRUE, _xlfn._xlws.FILTER(C112:BJ112, MOD(COLUMN(C112:BJ112)-COLUMN(BN112),2)=0))</f>
        <v>NO CLASS DUE TO HOLIDAY PLAYING WITHOUT ANY AIM PLAYING WELL IN SHUTTLE PLAYING WELL IN SHUTTLE INTERESTED IN CRCIKET PLAYING WELL SHORT CRICKET INTERESTED IN FOOTBALL&amp;PARTICIPATED IN 200MTS RUNNING RACE</v>
      </c>
      <c r="BO112" s="8"/>
    </row>
    <row r="113" spans="1:67" ht="14.35" customHeight="1" x14ac:dyDescent="0.45">
      <c r="A113" s="29"/>
      <c r="B113" s="8" t="s">
        <v>42</v>
      </c>
      <c r="C113" s="8"/>
      <c r="D113" s="14" t="s">
        <v>80</v>
      </c>
      <c r="E113" s="8">
        <v>50</v>
      </c>
      <c r="F113" s="10" t="s">
        <v>88</v>
      </c>
      <c r="G113" s="8">
        <v>75</v>
      </c>
      <c r="H113" s="10" t="s">
        <v>137</v>
      </c>
      <c r="I113" s="19">
        <v>65</v>
      </c>
      <c r="J113" s="10" t="s">
        <v>88</v>
      </c>
      <c r="K113" s="8"/>
      <c r="M113" s="19">
        <v>65</v>
      </c>
      <c r="N113" s="10" t="s">
        <v>276</v>
      </c>
      <c r="Q113" s="26">
        <v>80</v>
      </c>
      <c r="R113" s="10" t="s">
        <v>334</v>
      </c>
      <c r="BK113" s="8">
        <f t="shared" si="1"/>
        <v>67</v>
      </c>
      <c r="BL113" s="11" t="str" cm="1">
        <f t="array" ref="BL113">_xlfn.TEXTJOIN(" ", TRUE, _xlfn._xlws.FILTER(C113:BJ113, MOD(COLUMN(C113:BJ113)-COLUMN(BN113),2)=0))</f>
        <v>NO CLASS DUE TO HOLIDAY PERFORMING WELL NEED MOTIVATION,CAN IMPROVE SHOWING INTEREST NEED PRACTICE PERFORMING WELL NEED MOTIVATION,CAN IMPROVE PERFORMING WELL NEED MORE PRACTICE KNOWS BASIC SKILLS LIKE DRAWING &amp;TYPING PRACTICE AT HOME ALSO</v>
      </c>
      <c r="BO113" s="8"/>
    </row>
    <row r="114" spans="1:67" ht="14.35" customHeight="1" x14ac:dyDescent="0.45">
      <c r="A114" s="29"/>
      <c r="B114" s="8" t="s">
        <v>43</v>
      </c>
      <c r="C114" s="8">
        <v>25</v>
      </c>
      <c r="D114" s="15" t="s">
        <v>96</v>
      </c>
      <c r="E114" s="8">
        <v>50</v>
      </c>
      <c r="F114" s="10" t="s">
        <v>89</v>
      </c>
      <c r="G114" s="8">
        <v>50</v>
      </c>
      <c r="H114" s="10" t="s">
        <v>89</v>
      </c>
      <c r="I114" s="8" t="s">
        <v>79</v>
      </c>
      <c r="J114" s="10" t="s">
        <v>131</v>
      </c>
      <c r="K114" s="8"/>
      <c r="M114" s="10">
        <v>70</v>
      </c>
      <c r="N114" s="10" t="s">
        <v>243</v>
      </c>
      <c r="O114" s="24">
        <v>60</v>
      </c>
      <c r="P114" s="10" t="s">
        <v>294</v>
      </c>
      <c r="Q114" s="26">
        <v>80</v>
      </c>
      <c r="R114" s="10" t="s">
        <v>245</v>
      </c>
      <c r="BK114" s="8">
        <f t="shared" si="1"/>
        <v>55.833333333333336</v>
      </c>
      <c r="BL114" s="11" t="str" cm="1">
        <f t="array" ref="BL114">_xlfn.TEXTJOIN(" ", TRUE, _xlfn._xlws.FILTER(C114:BJ114, MOD(COLUMN(C114:BJ114)-COLUMN(BN114),2)=0))</f>
        <v>NEUTRAL PARTICIPATION IN CLASS AVERAGE PARTICIPATION AVERAGE PARTICIPATION ABSENT NEED TO CHANGE THE VERTICAL RECTANGLE MEASUREMENT TO CORRECT THE FIGURE NEED PRACTICE CAN IMPROVE SHOWING PROGRESS IN DRAWING</v>
      </c>
      <c r="BO114" s="8"/>
    </row>
    <row r="115" spans="1:67" ht="14.35" customHeight="1" x14ac:dyDescent="0.45">
      <c r="A115" s="29"/>
      <c r="B115" s="8" t="s">
        <v>44</v>
      </c>
      <c r="C115" s="9">
        <v>50</v>
      </c>
      <c r="D115" s="14" t="s">
        <v>108</v>
      </c>
      <c r="E115" s="8">
        <v>50</v>
      </c>
      <c r="F115" s="10" t="s">
        <v>119</v>
      </c>
      <c r="G115" s="8">
        <v>50</v>
      </c>
      <c r="H115" s="10" t="s">
        <v>146</v>
      </c>
      <c r="I115" s="8">
        <v>50</v>
      </c>
      <c r="J115" s="14" t="s">
        <v>108</v>
      </c>
      <c r="K115" s="8">
        <v>75</v>
      </c>
      <c r="L115" s="10" t="s">
        <v>199</v>
      </c>
      <c r="N115" s="10" t="s">
        <v>216</v>
      </c>
      <c r="O115" s="10">
        <v>65</v>
      </c>
      <c r="P115" s="10" t="s">
        <v>254</v>
      </c>
      <c r="Q115" s="26">
        <v>80</v>
      </c>
      <c r="R115" s="10" t="s">
        <v>337</v>
      </c>
      <c r="BK115" s="8">
        <f t="shared" si="1"/>
        <v>60</v>
      </c>
      <c r="BL115" s="11" t="str" cm="1">
        <f t="array" ref="BL115">_xlfn.TEXTJOIN(" ", TRUE, _xlfn._xlws.FILTER(C115:BJ115, MOD(COLUMN(C115:BJ115)-COLUMN(BN115),2)=0))</f>
        <v>GOOD IN READING SHOWING INTEREST IN READING SHOWING SOME INETREST TOWARDS UNDERSTANDING STORY READING WELL GOOD IN READING SHOWING INTEREST IN READING INTERSTED IN STORIES CLASS CANCELLED INTERESTED IN READING BOOKS PREFER TO READ KAKOLUKIYAM [PANCHATANTRA ]</v>
      </c>
      <c r="BO115" s="8"/>
    </row>
    <row r="116" spans="1:67" ht="14.35" customHeight="1" x14ac:dyDescent="0.45">
      <c r="A116" s="29"/>
      <c r="B116" s="8" t="s">
        <v>45</v>
      </c>
      <c r="C116" s="8"/>
      <c r="D116" s="15"/>
      <c r="E116" s="8"/>
      <c r="I116" s="8"/>
      <c r="BK116" s="8" t="str">
        <f t="shared" si="1"/>
        <v/>
      </c>
      <c r="BL116" s="11" t="str" cm="1">
        <f t="array" ref="BL116">_xlfn.TEXTJOIN(" ", TRUE, _xlfn._xlws.FILTER(C116:BJ116, MOD(COLUMN(C116:BJ116)-COLUMN(BN116),2)=0))</f>
        <v/>
      </c>
      <c r="BO116" s="8"/>
    </row>
    <row r="117" spans="1:67" ht="14.35" customHeight="1" x14ac:dyDescent="0.45">
      <c r="A117" s="29" t="s">
        <v>64</v>
      </c>
      <c r="B117" s="8" t="s">
        <v>40</v>
      </c>
      <c r="E117" s="8"/>
      <c r="I117" s="8"/>
      <c r="K117" s="19">
        <v>41</v>
      </c>
      <c r="L117" s="10" t="s">
        <v>222</v>
      </c>
      <c r="BK117" s="8">
        <f t="shared" si="1"/>
        <v>41</v>
      </c>
      <c r="BL117" s="11" t="str" cm="1">
        <f t="array" ref="BL117">_xlfn.TEXTJOIN(" ", TRUE, _xlfn._xlws.FILTER(C117:BJ117, MOD(COLUMN(C117:BJ117)-COLUMN(BN117),2)=0))</f>
        <v>INTERESTED IN SOCIAL&amp;MATHAMATICS</v>
      </c>
    </row>
    <row r="118" spans="1:67" ht="14.35" customHeight="1" x14ac:dyDescent="0.45">
      <c r="A118" s="29"/>
      <c r="B118" s="8" t="s">
        <v>41</v>
      </c>
      <c r="D118" s="14" t="s">
        <v>80</v>
      </c>
      <c r="E118" s="8">
        <v>25</v>
      </c>
      <c r="F118" s="10" t="s">
        <v>107</v>
      </c>
      <c r="G118" s="8">
        <v>50</v>
      </c>
      <c r="H118" s="10" t="s">
        <v>136</v>
      </c>
      <c r="I118" s="8">
        <v>50</v>
      </c>
      <c r="J118" s="10" t="s">
        <v>136</v>
      </c>
      <c r="K118" s="8">
        <v>75</v>
      </c>
      <c r="L118" s="10" t="s">
        <v>179</v>
      </c>
      <c r="M118" s="19">
        <v>65</v>
      </c>
      <c r="N118" s="10" t="s">
        <v>277</v>
      </c>
      <c r="Q118" s="28">
        <v>95</v>
      </c>
      <c r="R118" s="10" t="s">
        <v>332</v>
      </c>
      <c r="BK118" s="8">
        <f t="shared" si="1"/>
        <v>60</v>
      </c>
      <c r="BL118" s="11" t="str" cm="1">
        <f t="array" ref="BL118">_xlfn.TEXTJOIN(" ", TRUE, _xlfn._xlws.FILTER(C118:BJ118, MOD(COLUMN(C118:BJ118)-COLUMN(BN118),2)=0))</f>
        <v>NO CLASS DUE TO HOLIDAY PLAYING WITHOUT ANY AIM PLAYING WELL IN SHUTTLE PLAYING WELL IN SHUTTLE INTERESTED IN CRICKET PLAYING WELL SHORT CRICKET INTERESTED IN FOOTBALL&amp;PARTICIPATED IN 200MTS RUNNING RACE</v>
      </c>
    </row>
    <row r="119" spans="1:67" ht="14.35" customHeight="1" x14ac:dyDescent="0.45">
      <c r="A119" s="29"/>
      <c r="B119" s="8" t="s">
        <v>42</v>
      </c>
      <c r="D119" s="14" t="s">
        <v>80</v>
      </c>
      <c r="E119" s="8">
        <v>50</v>
      </c>
      <c r="F119" s="10" t="s">
        <v>88</v>
      </c>
      <c r="G119" s="8">
        <v>75</v>
      </c>
      <c r="H119" s="10" t="s">
        <v>137</v>
      </c>
      <c r="I119" s="19">
        <v>65</v>
      </c>
      <c r="J119" s="10" t="s">
        <v>88</v>
      </c>
      <c r="K119" s="8"/>
      <c r="M119" s="19">
        <v>65</v>
      </c>
      <c r="N119" s="10" t="s">
        <v>276</v>
      </c>
      <c r="Q119" s="26">
        <v>80</v>
      </c>
      <c r="R119" s="10" t="s">
        <v>334</v>
      </c>
      <c r="BK119" s="8">
        <f t="shared" si="1"/>
        <v>67</v>
      </c>
      <c r="BL119" s="11" t="str" cm="1">
        <f t="array" ref="BL119">_xlfn.TEXTJOIN(" ", TRUE, _xlfn._xlws.FILTER(C119:BJ119, MOD(COLUMN(C119:BJ119)-COLUMN(BN119),2)=0))</f>
        <v>NO CLASS DUE TO HOLIDAY PERFORMING WELL NEED MOTIVATION,CAN IMPROVE SHOWING INTEREST NEED PRACTICE PERFORMING WELL NEED MOTIVATION,CAN IMPROVE PERFORMING WELL NEED MORE PRACTICE KNOWS BASIC SKILLS LIKE DRAWING &amp;TYPING PRACTICE AT HOME ALSO</v>
      </c>
    </row>
    <row r="120" spans="1:67" ht="14.35" customHeight="1" x14ac:dyDescent="0.45">
      <c r="A120" s="29"/>
      <c r="B120" s="8" t="s">
        <v>43</v>
      </c>
      <c r="C120" s="8">
        <v>25</v>
      </c>
      <c r="D120" s="10" t="s">
        <v>96</v>
      </c>
      <c r="E120" s="8">
        <v>50</v>
      </c>
      <c r="F120" s="10" t="s">
        <v>89</v>
      </c>
      <c r="G120" s="8">
        <v>50</v>
      </c>
      <c r="H120" s="10" t="s">
        <v>89</v>
      </c>
      <c r="I120" s="8">
        <v>25</v>
      </c>
      <c r="J120" s="10" t="s">
        <v>125</v>
      </c>
      <c r="K120" s="8">
        <v>75</v>
      </c>
      <c r="L120" s="10" t="s">
        <v>209</v>
      </c>
      <c r="M120" s="10">
        <v>65</v>
      </c>
      <c r="N120" s="10" t="s">
        <v>244</v>
      </c>
      <c r="O120" s="24">
        <v>60</v>
      </c>
      <c r="P120" s="10" t="s">
        <v>300</v>
      </c>
      <c r="Q120" s="26">
        <v>80</v>
      </c>
      <c r="R120" s="10" t="s">
        <v>245</v>
      </c>
      <c r="BK120" s="8">
        <f t="shared" si="1"/>
        <v>53.75</v>
      </c>
      <c r="BL120" s="11" t="str" cm="1">
        <f t="array" ref="BL120">_xlfn.TEXTJOIN(" ", TRUE, _xlfn._xlws.FILTER(C120:BJ120, MOD(COLUMN(C120:BJ120)-COLUMN(BN120),2)=0))</f>
        <v>NEUTRAL PARTICIPATION IN CLASS AVERAGE PARTICIPATION AVERAGE PARTICIPATION NEUTRAL PERFORMANCE INTERESTED IN CHARTOON PICTURES INCORPORATE CURVED LINES  CORRECT THE CURVES OF THE FIGURE SHOWING PROGRESS IN DRAWING</v>
      </c>
    </row>
    <row r="121" spans="1:67" ht="14.35" customHeight="1" x14ac:dyDescent="0.45">
      <c r="A121" s="29"/>
      <c r="B121" s="8" t="s">
        <v>44</v>
      </c>
      <c r="C121" s="9">
        <v>50</v>
      </c>
      <c r="D121" s="14" t="s">
        <v>108</v>
      </c>
      <c r="E121" s="8">
        <v>50</v>
      </c>
      <c r="F121" s="10" t="s">
        <v>111</v>
      </c>
      <c r="G121" s="8">
        <v>50</v>
      </c>
      <c r="H121" s="10" t="s">
        <v>146</v>
      </c>
      <c r="I121" s="8">
        <v>50</v>
      </c>
      <c r="J121" s="14" t="s">
        <v>108</v>
      </c>
      <c r="K121" s="8">
        <v>75</v>
      </c>
      <c r="L121" s="10" t="s">
        <v>210</v>
      </c>
      <c r="N121" s="10" t="s">
        <v>216</v>
      </c>
      <c r="O121" s="10">
        <v>70</v>
      </c>
      <c r="P121" s="10" t="s">
        <v>210</v>
      </c>
      <c r="Q121" s="26">
        <v>80</v>
      </c>
      <c r="R121" s="10" t="s">
        <v>337</v>
      </c>
      <c r="BK121" s="8">
        <f t="shared" si="1"/>
        <v>60.714285714285715</v>
      </c>
      <c r="BL121" s="11" t="str" cm="1">
        <f t="array" ref="BL121">_xlfn.TEXTJOIN(" ", TRUE, _xlfn._xlws.FILTER(C121:BJ121, MOD(COLUMN(C121:BJ121)-COLUMN(BN121),2)=0))</f>
        <v>GOOD IN READING SHOWING INTEREST IN READING GOOD AND UNDERSTANDING THE CONCEPT READING WELL GOOD IN READING SHOWING INTEREST IN READING INTERESTED IN TEXT BOOKS READING CLASS CANCELLED INTERESTED IN TEXT BOOKS READING PREFER TO READ KAKOLUKIYAM [PANCHATANTRA ]</v>
      </c>
    </row>
    <row r="122" spans="1:67" ht="14.35" customHeight="1" x14ac:dyDescent="0.45">
      <c r="A122" s="29"/>
      <c r="B122" s="8" t="s">
        <v>45</v>
      </c>
      <c r="E122" s="8"/>
      <c r="I122" s="8"/>
      <c r="BK122" s="8" t="str">
        <f t="shared" si="1"/>
        <v/>
      </c>
      <c r="BL122" s="11" t="str" cm="1">
        <f t="array" ref="BL122">_xlfn.TEXTJOIN(" ", TRUE, _xlfn._xlws.FILTER(C122:BJ122, MOD(COLUMN(C122:BJ122)-COLUMN(BN122),2)=0))</f>
        <v/>
      </c>
    </row>
    <row r="123" spans="1:67" ht="14.35" customHeight="1" x14ac:dyDescent="0.45">
      <c r="A123" s="29" t="s">
        <v>65</v>
      </c>
      <c r="B123" s="8" t="s">
        <v>40</v>
      </c>
      <c r="E123" s="8"/>
      <c r="I123" s="8"/>
      <c r="K123" s="8">
        <v>68</v>
      </c>
      <c r="L123" s="10" t="s">
        <v>160</v>
      </c>
      <c r="BK123" s="8">
        <f t="shared" si="1"/>
        <v>68</v>
      </c>
      <c r="BL123" s="11" t="str" cm="1">
        <f t="array" ref="BL123">_xlfn.TEXTJOIN(" ", TRUE, _xlfn._xlws.FILTER(C123:BJ123, MOD(COLUMN(C123:BJ123)-COLUMN(BN123),2)=0))</f>
        <v xml:space="preserve">INTERESTED IN ENGLISH </v>
      </c>
    </row>
    <row r="124" spans="1:67" ht="14.35" customHeight="1" x14ac:dyDescent="0.45">
      <c r="A124" s="29"/>
      <c r="B124" s="8" t="s">
        <v>41</v>
      </c>
      <c r="D124" s="14" t="s">
        <v>80</v>
      </c>
      <c r="E124" s="8">
        <v>25</v>
      </c>
      <c r="F124" s="10" t="s">
        <v>107</v>
      </c>
      <c r="G124" s="8">
        <v>50</v>
      </c>
      <c r="H124" s="10" t="s">
        <v>136</v>
      </c>
      <c r="I124" s="8">
        <v>50</v>
      </c>
      <c r="J124" s="10" t="s">
        <v>136</v>
      </c>
      <c r="K124" s="8">
        <v>75</v>
      </c>
      <c r="L124" s="10" t="s">
        <v>179</v>
      </c>
      <c r="M124" s="19">
        <v>65</v>
      </c>
      <c r="N124" s="10" t="s">
        <v>277</v>
      </c>
      <c r="Q124" s="27">
        <v>90</v>
      </c>
      <c r="R124" s="10" t="s">
        <v>335</v>
      </c>
      <c r="BK124" s="8">
        <f t="shared" si="1"/>
        <v>59.166666666666664</v>
      </c>
      <c r="BL124" s="11" t="str" cm="1">
        <f t="array" ref="BL124">_xlfn.TEXTJOIN(" ", TRUE, _xlfn._xlws.FILTER(C124:BJ124, MOD(COLUMN(C124:BJ124)-COLUMN(BN124),2)=0))</f>
        <v>NO CLASS DUE TO HOLIDAY PLAYING WITHOUT ANY AIM PLAYING WELL IN SHUTTLE PLAYING WELL IN SHUTTLE INTERESTED IN CRICKET PLAYING WELL SHORT CRICKET  INTERESTED IN VOLLEYBALL,FOOTBALL,BADMINTON&amp;CRICKET</v>
      </c>
    </row>
    <row r="125" spans="1:67" ht="14.35" customHeight="1" x14ac:dyDescent="0.45">
      <c r="A125" s="29"/>
      <c r="B125" s="8" t="s">
        <v>42</v>
      </c>
      <c r="D125" s="14" t="s">
        <v>80</v>
      </c>
      <c r="E125" s="8">
        <v>50</v>
      </c>
      <c r="F125" s="10" t="s">
        <v>88</v>
      </c>
      <c r="G125" s="8">
        <v>75</v>
      </c>
      <c r="H125" s="10" t="s">
        <v>137</v>
      </c>
      <c r="I125" s="19">
        <v>65</v>
      </c>
      <c r="J125" s="10" t="s">
        <v>88</v>
      </c>
      <c r="K125" s="8"/>
      <c r="M125" s="19">
        <v>65</v>
      </c>
      <c r="N125" s="10" t="s">
        <v>276</v>
      </c>
      <c r="Q125" s="26">
        <v>80</v>
      </c>
      <c r="R125" s="10" t="s">
        <v>304</v>
      </c>
      <c r="BK125" s="8">
        <f t="shared" si="1"/>
        <v>67</v>
      </c>
      <c r="BL125" s="11" t="str" cm="1">
        <f t="array" ref="BL125">_xlfn.TEXTJOIN(" ", TRUE, _xlfn._xlws.FILTER(C125:BJ125, MOD(COLUMN(C125:BJ125)-COLUMN(BN125),2)=0))</f>
        <v>NO CLASS DUE TO HOLIDAY PERFORMING WELL NEED MOTIVATION,CAN IMPROVE SHOWING INTEREST NEED PRACTICE PERFORMING WELL NEED MOTIVATION,CAN IMPROVE PERFORMING WELL NEED MORE PRACTICE KNOWS BASIC SKILLS LIKE DRAWING &amp;TYPING</v>
      </c>
    </row>
    <row r="126" spans="1:67" ht="14.35" customHeight="1" x14ac:dyDescent="0.45">
      <c r="A126" s="29"/>
      <c r="B126" s="8" t="s">
        <v>43</v>
      </c>
      <c r="C126" s="8" t="s">
        <v>79</v>
      </c>
      <c r="D126" s="10" t="s">
        <v>79</v>
      </c>
      <c r="E126" s="8">
        <v>25</v>
      </c>
      <c r="F126" s="10" t="s">
        <v>123</v>
      </c>
      <c r="G126" s="8" t="s">
        <v>79</v>
      </c>
      <c r="H126" s="10" t="s">
        <v>79</v>
      </c>
      <c r="I126" s="8" t="s">
        <v>79</v>
      </c>
      <c r="J126" s="10" t="s">
        <v>131</v>
      </c>
      <c r="K126" s="8"/>
      <c r="M126" s="10" t="s">
        <v>79</v>
      </c>
      <c r="N126" s="10" t="s">
        <v>79</v>
      </c>
      <c r="O126" s="24">
        <v>60</v>
      </c>
      <c r="P126" s="10" t="s">
        <v>299</v>
      </c>
      <c r="Q126" s="26">
        <v>80</v>
      </c>
      <c r="R126" s="10" t="s">
        <v>245</v>
      </c>
      <c r="BK126" s="8">
        <f t="shared" si="1"/>
        <v>55</v>
      </c>
      <c r="BL126" s="11" t="str" cm="1">
        <f t="array" ref="BL126">_xlfn.TEXTJOIN(" ", TRUE, _xlfn._xlws.FILTER(C126:BJ126, MOD(COLUMN(C126:BJ126)-COLUMN(BN126),2)=0))</f>
        <v>AB NO CONCENTRATION IN CLASS AB ABSENT AB NEED TO CORRECT THE BASE OF THE FIGURE SHOWING PROGRESS IN DRAWING</v>
      </c>
    </row>
    <row r="127" spans="1:67" ht="14.35" customHeight="1" x14ac:dyDescent="0.45">
      <c r="A127" s="29"/>
      <c r="B127" s="8" t="s">
        <v>44</v>
      </c>
      <c r="C127" s="9">
        <v>50</v>
      </c>
      <c r="D127" s="14" t="s">
        <v>108</v>
      </c>
      <c r="E127" s="8">
        <v>50</v>
      </c>
      <c r="F127" s="10" t="s">
        <v>89</v>
      </c>
      <c r="G127" s="8">
        <v>50</v>
      </c>
      <c r="H127" s="10" t="s">
        <v>146</v>
      </c>
      <c r="I127" s="8">
        <v>50</v>
      </c>
      <c r="J127" s="14" t="s">
        <v>108</v>
      </c>
      <c r="K127" s="19">
        <v>65</v>
      </c>
      <c r="L127" s="10" t="s">
        <v>154</v>
      </c>
      <c r="N127" s="10" t="s">
        <v>216</v>
      </c>
      <c r="O127" s="10">
        <v>60</v>
      </c>
      <c r="P127" s="10" t="s">
        <v>267</v>
      </c>
      <c r="Q127" s="25">
        <v>85</v>
      </c>
      <c r="R127" s="10" t="s">
        <v>336</v>
      </c>
      <c r="BK127" s="8">
        <f t="shared" si="1"/>
        <v>58.571428571428569</v>
      </c>
      <c r="BL127" s="11" t="str" cm="1">
        <f t="array" ref="BL127">_xlfn.TEXTJOIN(" ", TRUE, _xlfn._xlws.FILTER(C127:BJ127, MOD(COLUMN(C127:BJ127)-COLUMN(BN127),2)=0))</f>
        <v>GOOD IN READING SHOWING INTEREST IN READING AVERAGE PARTICIPATION READING WELL GOOD IN READING SHOWING INTEREST IN READING INTERESTED IN STORY BOOKS CLASS CANCELLED INTERESTED  IN READING BOOKS, NEED TO PAY ATTENTION PREFER  ALL KIND OF BOOKS TO READ</v>
      </c>
    </row>
    <row r="128" spans="1:67" ht="14.35" customHeight="1" x14ac:dyDescent="0.45">
      <c r="A128" s="29"/>
      <c r="B128" s="8" t="s">
        <v>45</v>
      </c>
      <c r="E128" s="8"/>
      <c r="I128" s="8"/>
      <c r="BK128" s="8" t="str">
        <f t="shared" si="1"/>
        <v/>
      </c>
      <c r="BL128" s="11" t="str" cm="1">
        <f t="array" ref="BL128">_xlfn.TEXTJOIN(" ", TRUE, _xlfn._xlws.FILTER(C128:BJ128, MOD(COLUMN(C128:BJ128)-COLUMN(BN128),2)=0))</f>
        <v/>
      </c>
    </row>
    <row r="129" spans="1:64" ht="14.35" customHeight="1" x14ac:dyDescent="0.45">
      <c r="A129" s="29" t="s">
        <v>66</v>
      </c>
      <c r="B129" s="8" t="s">
        <v>40</v>
      </c>
      <c r="E129" s="8"/>
      <c r="I129" s="8"/>
      <c r="K129" s="8">
        <v>78</v>
      </c>
      <c r="L129" s="10" t="s">
        <v>160</v>
      </c>
      <c r="BK129" s="8">
        <f t="shared" si="1"/>
        <v>78</v>
      </c>
      <c r="BL129" s="11" t="str" cm="1">
        <f t="array" ref="BL129">_xlfn.TEXTJOIN(" ", TRUE, _xlfn._xlws.FILTER(C129:BJ129, MOD(COLUMN(C129:BJ129)-COLUMN(BN129),2)=0))</f>
        <v xml:space="preserve">INTERESTED IN ENGLISH </v>
      </c>
    </row>
    <row r="130" spans="1:64" ht="14.35" customHeight="1" x14ac:dyDescent="0.45">
      <c r="A130" s="29"/>
      <c r="B130" s="8" t="s">
        <v>41</v>
      </c>
      <c r="D130" s="14" t="s">
        <v>80</v>
      </c>
      <c r="E130" s="8">
        <v>25</v>
      </c>
      <c r="F130" s="10" t="s">
        <v>107</v>
      </c>
      <c r="G130" s="8">
        <v>50</v>
      </c>
      <c r="H130" s="10" t="s">
        <v>136</v>
      </c>
      <c r="I130" s="8">
        <v>50</v>
      </c>
      <c r="J130" s="10" t="s">
        <v>136</v>
      </c>
      <c r="K130" s="8">
        <v>75</v>
      </c>
      <c r="L130" s="10" t="s">
        <v>161</v>
      </c>
      <c r="M130" s="23">
        <v>70</v>
      </c>
      <c r="N130" s="10" t="s">
        <v>278</v>
      </c>
      <c r="Q130" s="25">
        <v>85</v>
      </c>
      <c r="R130" s="10" t="s">
        <v>303</v>
      </c>
      <c r="BK130" s="8">
        <f t="shared" si="1"/>
        <v>59.166666666666664</v>
      </c>
      <c r="BL130" s="11" t="str" cm="1">
        <f t="array" ref="BL130">_xlfn.TEXTJOIN(" ", TRUE, _xlfn._xlws.FILTER(C130:BJ130, MOD(COLUMN(C130:BJ130)-COLUMN(BN130),2)=0))</f>
        <v>NO CLASS DUE TO HOLIDAY PLAYING WITHOUT ANY AIM PLAYING WELL IN SHUTTLE PLAYING WELL IN SHUTTLE INTERESTED IN KHO-KHO PERFORMING WELL IN KHO KHO INTERESTED IN TENNIS&amp;KHABADI</v>
      </c>
    </row>
    <row r="131" spans="1:64" ht="14.35" customHeight="1" x14ac:dyDescent="0.45">
      <c r="A131" s="29"/>
      <c r="B131" s="8" t="s">
        <v>42</v>
      </c>
      <c r="D131" s="14" t="s">
        <v>80</v>
      </c>
      <c r="E131" s="8">
        <v>50</v>
      </c>
      <c r="F131" s="10" t="s">
        <v>88</v>
      </c>
      <c r="G131" s="8">
        <v>75</v>
      </c>
      <c r="H131" s="10" t="s">
        <v>137</v>
      </c>
      <c r="I131" s="19">
        <v>65</v>
      </c>
      <c r="J131" s="10" t="s">
        <v>88</v>
      </c>
      <c r="K131" s="8"/>
      <c r="M131" s="19">
        <v>65</v>
      </c>
      <c r="N131" s="10" t="s">
        <v>276</v>
      </c>
      <c r="Q131" s="26">
        <v>80</v>
      </c>
      <c r="R131" s="10" t="s">
        <v>304</v>
      </c>
      <c r="BK131" s="8">
        <f t="shared" ref="BK131:BK194" si="2">IFERROR(AVERAGEIF(C131:BI131,"&lt;&gt;nill"), "")</f>
        <v>67</v>
      </c>
      <c r="BL131" s="11" t="str" cm="1">
        <f t="array" ref="BL131">_xlfn.TEXTJOIN(" ", TRUE, _xlfn._xlws.FILTER(C131:BJ131, MOD(COLUMN(C131:BJ131)-COLUMN(BN131),2)=0))</f>
        <v>NO CLASS DUE TO HOLIDAY PERFORMING WELL NEED MOTIVATION,CAN IMPROVE SHOWING INTEREST NEED PRACTICE PERFORMING WELL NEED MOTIVATION,CAN IMPROVE PERFORMING WELL NEED MORE PRACTICE KNOWS BASIC SKILLS LIKE DRAWING &amp;TYPING</v>
      </c>
    </row>
    <row r="132" spans="1:64" ht="14.35" customHeight="1" x14ac:dyDescent="0.45">
      <c r="A132" s="29"/>
      <c r="B132" s="8" t="s">
        <v>43</v>
      </c>
      <c r="C132" s="8">
        <v>50</v>
      </c>
      <c r="D132" s="10" t="s">
        <v>101</v>
      </c>
      <c r="E132" s="8">
        <v>50</v>
      </c>
      <c r="F132" s="10" t="s">
        <v>90</v>
      </c>
      <c r="G132" s="16">
        <v>65</v>
      </c>
      <c r="H132" s="10" t="s">
        <v>90</v>
      </c>
      <c r="I132" s="8" t="s">
        <v>79</v>
      </c>
      <c r="J132" s="10" t="s">
        <v>131</v>
      </c>
      <c r="K132" s="19">
        <v>65</v>
      </c>
      <c r="L132" s="10" t="s">
        <v>174</v>
      </c>
      <c r="M132" s="10">
        <v>65</v>
      </c>
      <c r="N132" s="10" t="s">
        <v>93</v>
      </c>
      <c r="O132" s="24">
        <v>60</v>
      </c>
      <c r="P132" s="10" t="s">
        <v>291</v>
      </c>
      <c r="Q132" s="26">
        <v>80</v>
      </c>
      <c r="R132" s="10" t="s">
        <v>295</v>
      </c>
      <c r="BK132" s="8">
        <f t="shared" si="2"/>
        <v>62.142857142857146</v>
      </c>
      <c r="BL132" s="11" t="str" cm="1">
        <f t="array" ref="BL132">_xlfn.TEXTJOIN(" ", TRUE, _xlfn._xlws.FILTER(C132:BJ132, MOD(COLUMN(C132:BJ132)-COLUMN(BN132),2)=0))</f>
        <v>AVERAGE BUT TRYING HARD TO DRAW  SIMPLIFYING THE CONTOUR WELL SIMPLIFYING THE CONTOUR WELL ABSENT INTERESTED IN PAINTING NEED TO REFINE THE FIGURE PERFORMING WELL NEED PRACTICE SHOWING WILLINGNESS IN DRAWING</v>
      </c>
    </row>
    <row r="133" spans="1:64" ht="14.35" customHeight="1" x14ac:dyDescent="0.45">
      <c r="A133" s="29"/>
      <c r="B133" s="8" t="s">
        <v>44</v>
      </c>
      <c r="C133" s="9">
        <v>50</v>
      </c>
      <c r="D133" s="14" t="s">
        <v>108</v>
      </c>
      <c r="E133" s="8">
        <v>50</v>
      </c>
      <c r="F133" s="10" t="s">
        <v>117</v>
      </c>
      <c r="G133" s="8">
        <v>50</v>
      </c>
      <c r="H133" s="10" t="s">
        <v>146</v>
      </c>
      <c r="I133" s="8">
        <v>50</v>
      </c>
      <c r="J133" s="14" t="s">
        <v>108</v>
      </c>
      <c r="K133" s="8">
        <v>75</v>
      </c>
      <c r="L133" s="10" t="s">
        <v>175</v>
      </c>
      <c r="N133" s="10" t="s">
        <v>216</v>
      </c>
      <c r="O133" s="10" t="s">
        <v>79</v>
      </c>
      <c r="P133" s="10" t="s">
        <v>79</v>
      </c>
      <c r="Q133" s="27">
        <v>90</v>
      </c>
      <c r="R133" s="10" t="s">
        <v>305</v>
      </c>
      <c r="BK133" s="8">
        <f t="shared" si="2"/>
        <v>60.833333333333336</v>
      </c>
      <c r="BL133" s="11" t="str" cm="1">
        <f t="array" ref="BL133">_xlfn.TEXTJOIN(" ", TRUE, _xlfn._xlws.FILTER(C133:BJ133, MOD(COLUMN(C133:BJ133)-COLUMN(BN133),2)=0))</f>
        <v xml:space="preserve">GOOD IN READING SHOWING INTEREST IN READING NEED MORE CONCENTRATION READING WELL GOOD IN READING SHOWING INTEREST IN READING INTERESTED IN DISNEY, STORIES BOOKS CLASS CANCELLED AB PREFER FAIRY TALES TO READ HAVING LIBRARY MEMBERSHIP READS DAILY EVENING BOOKS </v>
      </c>
    </row>
    <row r="134" spans="1:64" ht="14.35" customHeight="1" x14ac:dyDescent="0.45">
      <c r="A134" s="29"/>
      <c r="B134" s="8" t="s">
        <v>45</v>
      </c>
      <c r="E134" s="8"/>
      <c r="I134" s="8"/>
      <c r="BK134" s="8" t="str">
        <f t="shared" si="2"/>
        <v/>
      </c>
      <c r="BL134" s="11" t="str" cm="1">
        <f t="array" ref="BL134">_xlfn.TEXTJOIN(" ", TRUE, _xlfn._xlws.FILTER(C134:BJ134, MOD(COLUMN(C134:BJ134)-COLUMN(BN134),2)=0))</f>
        <v/>
      </c>
    </row>
    <row r="135" spans="1:64" ht="14.35" customHeight="1" x14ac:dyDescent="0.45">
      <c r="A135" s="29" t="s">
        <v>67</v>
      </c>
      <c r="B135" s="8" t="s">
        <v>40</v>
      </c>
      <c r="E135" s="8"/>
      <c r="I135" s="8"/>
      <c r="K135" s="8">
        <v>34</v>
      </c>
      <c r="L135" s="10" t="s">
        <v>167</v>
      </c>
      <c r="BK135" s="8">
        <f t="shared" si="2"/>
        <v>34</v>
      </c>
      <c r="BL135" s="11" t="str" cm="1">
        <f t="array" ref="BL135">_xlfn.TEXTJOIN(" ", TRUE, _xlfn._xlws.FILTER(C135:BJ135, MOD(COLUMN(C135:BJ135)-COLUMN(BN135),2)=0))</f>
        <v>INTERESTED IN SCIENCE ESPECIALLY IN HEART ORGANSIM</v>
      </c>
    </row>
    <row r="136" spans="1:64" ht="14.35" customHeight="1" x14ac:dyDescent="0.45">
      <c r="A136" s="29"/>
      <c r="B136" s="8" t="s">
        <v>41</v>
      </c>
      <c r="D136" s="14" t="s">
        <v>80</v>
      </c>
      <c r="E136" s="8">
        <v>25</v>
      </c>
      <c r="F136" s="10" t="s">
        <v>107</v>
      </c>
      <c r="G136" s="8">
        <v>50</v>
      </c>
      <c r="H136" s="10" t="s">
        <v>136</v>
      </c>
      <c r="I136" s="8">
        <v>50</v>
      </c>
      <c r="J136" s="10" t="s">
        <v>136</v>
      </c>
      <c r="K136" s="8">
        <v>75</v>
      </c>
      <c r="L136" s="10" t="s">
        <v>168</v>
      </c>
      <c r="M136" s="23">
        <v>70</v>
      </c>
      <c r="N136" s="10" t="s">
        <v>278</v>
      </c>
      <c r="Q136" s="28">
        <v>95</v>
      </c>
      <c r="R136" s="10" t="s">
        <v>308</v>
      </c>
      <c r="BK136" s="8">
        <f t="shared" si="2"/>
        <v>60.833333333333336</v>
      </c>
      <c r="BL136" s="11" t="str" cm="1">
        <f t="array" ref="BL136">_xlfn.TEXTJOIN(" ", TRUE, _xlfn._xlws.FILTER(C136:BJ136, MOD(COLUMN(C136:BJ136)-COLUMN(BN136),2)=0))</f>
        <v>NO CLASS DUE TO HOLIDAY PLAYING WITHOUT ANY AIM PLAYING WELL IN SHUTTLE PLAYING WELL IN SHUTTLE INTERSTED IN KHO-KHO PERFORMING WELL IN KHO KHO INTERESTED IN THROWBALL,KHABADI AND PARTICIPATED IN 100MTS RUNNING RACE WON 1ST PRIZE,200MTS 1ST PRIZE</v>
      </c>
    </row>
    <row r="137" spans="1:64" ht="14.35" customHeight="1" x14ac:dyDescent="0.45">
      <c r="A137" s="29"/>
      <c r="B137" s="8" t="s">
        <v>42</v>
      </c>
      <c r="D137" s="14" t="s">
        <v>80</v>
      </c>
      <c r="E137" s="8">
        <v>50</v>
      </c>
      <c r="F137" s="10" t="s">
        <v>88</v>
      </c>
      <c r="G137" s="8">
        <v>75</v>
      </c>
      <c r="H137" s="10" t="s">
        <v>137</v>
      </c>
      <c r="I137" s="19">
        <v>65</v>
      </c>
      <c r="J137" s="10" t="s">
        <v>88</v>
      </c>
      <c r="K137" s="19">
        <v>65</v>
      </c>
      <c r="L137" s="10" t="s">
        <v>153</v>
      </c>
      <c r="M137" s="19">
        <v>65</v>
      </c>
      <c r="N137" s="10" t="s">
        <v>276</v>
      </c>
      <c r="Q137" s="26">
        <v>80</v>
      </c>
      <c r="R137" s="10" t="s">
        <v>304</v>
      </c>
      <c r="BK137" s="8">
        <f t="shared" si="2"/>
        <v>66.666666666666671</v>
      </c>
      <c r="BL137" s="11" t="str" cm="1">
        <f t="array" ref="BL137">_xlfn.TEXTJOIN(" ", TRUE, _xlfn._xlws.FILTER(C137:BJ137, MOD(COLUMN(C137:BJ137)-COLUMN(BN137),2)=0))</f>
        <v>NO CLASS DUE TO HOLIDAY PERFORMING WELL NEED MOTIVATION,CAN IMPROVE SHOWING INTEREST NEED PRACTICE PERFORMING WELL NEED MOTIVATION,CAN IMPROVE INTERESTED IN TYPING PERFORMING WELL NEED MORE PRACTICE KNOWS BASIC SKILLS LIKE DRAWING &amp;TYPING</v>
      </c>
    </row>
    <row r="138" spans="1:64" ht="14.35" customHeight="1" x14ac:dyDescent="0.45">
      <c r="A138" s="29"/>
      <c r="B138" s="8" t="s">
        <v>43</v>
      </c>
      <c r="C138" s="8">
        <v>25</v>
      </c>
      <c r="D138" s="10" t="s">
        <v>96</v>
      </c>
      <c r="E138" s="8">
        <v>25</v>
      </c>
      <c r="F138" s="10" t="s">
        <v>82</v>
      </c>
      <c r="G138" s="8" t="s">
        <v>79</v>
      </c>
      <c r="H138" s="10" t="s">
        <v>79</v>
      </c>
      <c r="I138" s="8">
        <v>25</v>
      </c>
      <c r="J138" s="10" t="s">
        <v>125</v>
      </c>
      <c r="K138" s="8"/>
      <c r="M138" s="10">
        <v>70</v>
      </c>
      <c r="N138" s="10" t="s">
        <v>245</v>
      </c>
      <c r="O138" s="23">
        <v>70</v>
      </c>
      <c r="P138" s="10" t="s">
        <v>282</v>
      </c>
      <c r="Q138" s="26">
        <v>80</v>
      </c>
      <c r="R138" s="10" t="s">
        <v>295</v>
      </c>
      <c r="BK138" s="8">
        <f t="shared" si="2"/>
        <v>49.166666666666664</v>
      </c>
      <c r="BL138" s="11" t="str" cm="1">
        <f t="array" ref="BL138">_xlfn.TEXTJOIN(" ", TRUE, _xlfn._xlws.FILTER(C138:BJ138, MOD(COLUMN(C138:BJ138)-COLUMN(BN138),2)=0))</f>
        <v>NEUTRAL PARTICIPATION IN CLASS NEUTRAL PARTICIPATION AB NEUTRAL PERFORMANCE SHOWING PROGRESS IN DRAWING GOOD IN CURVES OF THE FIGURE SHOWING WILLINGNESS IN DRAWING</v>
      </c>
    </row>
    <row r="139" spans="1:64" ht="14.35" customHeight="1" x14ac:dyDescent="0.45">
      <c r="A139" s="29"/>
      <c r="B139" s="8" t="s">
        <v>44</v>
      </c>
      <c r="C139" s="9">
        <v>50</v>
      </c>
      <c r="D139" s="14" t="s">
        <v>108</v>
      </c>
      <c r="E139" s="8">
        <v>50</v>
      </c>
      <c r="F139" s="10" t="s">
        <v>120</v>
      </c>
      <c r="G139" s="8">
        <v>50</v>
      </c>
      <c r="H139" s="10" t="s">
        <v>146</v>
      </c>
      <c r="I139" s="8">
        <v>50</v>
      </c>
      <c r="J139" s="14" t="s">
        <v>108</v>
      </c>
      <c r="K139" s="8">
        <v>75</v>
      </c>
      <c r="L139" s="10" t="s">
        <v>169</v>
      </c>
      <c r="N139" s="10" t="s">
        <v>216</v>
      </c>
      <c r="O139" s="10">
        <v>60</v>
      </c>
      <c r="P139" s="10" t="s">
        <v>260</v>
      </c>
      <c r="Q139" s="27">
        <v>90</v>
      </c>
      <c r="R139" s="10" t="s">
        <v>309</v>
      </c>
      <c r="BK139" s="8">
        <f t="shared" si="2"/>
        <v>60.714285714285715</v>
      </c>
      <c r="BL139" s="11" t="str" cm="1">
        <f t="array" ref="BL139">_xlfn.TEXTJOIN(" ", TRUE, _xlfn._xlws.FILTER(C139:BJ139, MOD(COLUMN(C139:BJ139)-COLUMN(BN139),2)=0))</f>
        <v xml:space="preserve">GOOD IN READING SHOWING INTEREST IN READING GOOD TRYING TO SAY THE STORY BY HER OWN READING WELL GOOD IN READING SHOWING INTEREST IN READING INTERESTED IN STORY, HORROR,GOD BOOKS CLASS CANCELLED TRYING TO FIGURE OUT THE STORY PREFER FAIRY TALES TO READ AND HAVE HABIT OF READING BOOKS AT HOME ALSO </v>
      </c>
    </row>
    <row r="140" spans="1:64" ht="14.35" customHeight="1" x14ac:dyDescent="0.45">
      <c r="A140" s="29"/>
      <c r="B140" s="8" t="s">
        <v>45</v>
      </c>
      <c r="E140" s="8"/>
      <c r="I140" s="8"/>
      <c r="BK140" s="8" t="str">
        <f t="shared" si="2"/>
        <v/>
      </c>
      <c r="BL140" s="11" t="str" cm="1">
        <f t="array" ref="BL140">_xlfn.TEXTJOIN(" ", TRUE, _xlfn._xlws.FILTER(C140:BJ140, MOD(COLUMN(C140:BJ140)-COLUMN(BN140),2)=0))</f>
        <v/>
      </c>
    </row>
    <row r="141" spans="1:64" ht="14.35" customHeight="1" x14ac:dyDescent="0.45">
      <c r="A141" s="29" t="s">
        <v>68</v>
      </c>
      <c r="B141" s="8" t="s">
        <v>40</v>
      </c>
      <c r="E141" s="8"/>
      <c r="I141" s="8"/>
      <c r="K141" s="10">
        <v>69</v>
      </c>
      <c r="L141" s="10" t="s">
        <v>217</v>
      </c>
      <c r="BK141" s="8">
        <f t="shared" si="2"/>
        <v>69</v>
      </c>
      <c r="BL141" s="11" t="str" cm="1">
        <f t="array" ref="BL141">_xlfn.TEXTJOIN(" ", TRUE, _xlfn._xlws.FILTER(C141:BJ141, MOD(COLUMN(C141:BJ141)-COLUMN(BN141),2)=0))</f>
        <v>GOOD IN MATHAMATICS</v>
      </c>
    </row>
    <row r="142" spans="1:64" ht="14.35" customHeight="1" x14ac:dyDescent="0.45">
      <c r="A142" s="29"/>
      <c r="B142" s="8" t="s">
        <v>41</v>
      </c>
      <c r="D142" s="14" t="s">
        <v>80</v>
      </c>
      <c r="E142" s="8">
        <v>25</v>
      </c>
      <c r="F142" s="10" t="s">
        <v>107</v>
      </c>
      <c r="G142" s="8">
        <v>50</v>
      </c>
      <c r="H142" s="10" t="s">
        <v>136</v>
      </c>
      <c r="I142" s="8">
        <v>50</v>
      </c>
      <c r="J142" s="10" t="s">
        <v>136</v>
      </c>
      <c r="M142" s="23">
        <v>70</v>
      </c>
      <c r="N142" s="10" t="s">
        <v>278</v>
      </c>
      <c r="Q142" s="28">
        <v>95</v>
      </c>
      <c r="R142" s="10" t="s">
        <v>306</v>
      </c>
      <c r="BK142" s="8">
        <f t="shared" si="2"/>
        <v>58</v>
      </c>
      <c r="BL142" s="11" t="str" cm="1">
        <f t="array" ref="BL142">_xlfn.TEXTJOIN(" ", TRUE, _xlfn._xlws.FILTER(C142:BJ142, MOD(COLUMN(C142:BJ142)-COLUMN(BN142),2)=0))</f>
        <v>NO CLASS DUE TO HOLIDAY PLAYING WITHOUT ANY AIM PLAYING WELL IN SHUTTLE PLAYING WELL IN SHUTTLE PERFORMING WELL IN KHO KHO INTERESTED IN THROWBALL KHABADI AND PARTICIPATED IN 200MTS RUNNING RACE WON 3RD PRIZE</v>
      </c>
    </row>
    <row r="143" spans="1:64" ht="14.35" customHeight="1" x14ac:dyDescent="0.45">
      <c r="A143" s="29"/>
      <c r="B143" s="8" t="s">
        <v>42</v>
      </c>
      <c r="D143" s="10" t="s">
        <v>80</v>
      </c>
      <c r="E143" s="8">
        <v>50</v>
      </c>
      <c r="F143" s="10" t="s">
        <v>88</v>
      </c>
      <c r="G143" s="8">
        <v>75</v>
      </c>
      <c r="H143" s="10" t="s">
        <v>137</v>
      </c>
      <c r="I143" s="19">
        <v>65</v>
      </c>
      <c r="J143" s="10" t="s">
        <v>88</v>
      </c>
      <c r="M143" s="19">
        <v>65</v>
      </c>
      <c r="N143" s="10" t="s">
        <v>276</v>
      </c>
      <c r="Q143" s="26">
        <v>80</v>
      </c>
      <c r="R143" s="10" t="s">
        <v>307</v>
      </c>
      <c r="BK143" s="8">
        <f t="shared" si="2"/>
        <v>67</v>
      </c>
      <c r="BL143" s="11" t="str" cm="1">
        <f t="array" ref="BL143">_xlfn.TEXTJOIN(" ", TRUE, _xlfn._xlws.FILTER(C143:BJ143, MOD(COLUMN(C143:BJ143)-COLUMN(BN143),2)=0))</f>
        <v>NO CLASS DUE TO HOLIDAY PERFORMING WELL NEED MOTIVATION,CAN IMPROVE SHOWING INTEREST NEED PRACTICE PERFORMING WELL NEED MOTIVATION,CAN IMPROVE PERFORMING WELL NEED MORE PRACTICE BASIC SKILLS LIKE DRAWING&amp;TYPING</v>
      </c>
    </row>
    <row r="144" spans="1:64" ht="14.35" customHeight="1" x14ac:dyDescent="0.45">
      <c r="A144" s="29"/>
      <c r="B144" s="8" t="s">
        <v>43</v>
      </c>
      <c r="C144" s="8">
        <v>50</v>
      </c>
      <c r="D144" s="10" t="s">
        <v>102</v>
      </c>
      <c r="E144" s="8">
        <v>50</v>
      </c>
      <c r="F144" s="10" t="s">
        <v>91</v>
      </c>
      <c r="G144" s="16">
        <v>65</v>
      </c>
      <c r="H144" s="10" t="s">
        <v>91</v>
      </c>
      <c r="I144" s="8">
        <v>25</v>
      </c>
      <c r="J144" s="10" t="s">
        <v>125</v>
      </c>
      <c r="M144" s="10">
        <v>75</v>
      </c>
      <c r="N144" s="10" t="s">
        <v>246</v>
      </c>
      <c r="O144" s="24">
        <v>60</v>
      </c>
      <c r="P144" s="10" t="s">
        <v>294</v>
      </c>
      <c r="Q144" s="26">
        <v>80</v>
      </c>
      <c r="R144" s="10" t="s">
        <v>295</v>
      </c>
      <c r="BK144" s="8">
        <f t="shared" si="2"/>
        <v>57.857142857142854</v>
      </c>
      <c r="BL144" s="11" t="str" cm="1">
        <f t="array" ref="BL144">_xlfn.TEXTJOIN(" ", TRUE, _xlfn._xlws.FILTER(C144:BJ144, MOD(COLUMN(C144:BJ144)-COLUMN(BN144),2)=0))</f>
        <v>TAKING HER FRIENDS HELP TO DRAW UTILIZING THE LINES NEATLY TO CREATE THE IMAGE UTILIZING THE LINES NEATLY TO CREATE THE IMAGE NEUTRAL PERFORMANCE CAPTURIN G THE PROPORTION ACCURATELY NEED PRACTICE CAN IMPROVE SHOWING WILLINGNESS IN DRAWING</v>
      </c>
    </row>
    <row r="145" spans="1:64" ht="14.35" customHeight="1" x14ac:dyDescent="0.45">
      <c r="A145" s="29"/>
      <c r="B145" s="8" t="s">
        <v>44</v>
      </c>
      <c r="C145" s="9">
        <v>50</v>
      </c>
      <c r="D145" s="14" t="s">
        <v>108</v>
      </c>
      <c r="E145" s="8">
        <v>50</v>
      </c>
      <c r="F145" s="10" t="s">
        <v>112</v>
      </c>
      <c r="G145" s="8">
        <v>50</v>
      </c>
      <c r="H145" s="10" t="s">
        <v>146</v>
      </c>
      <c r="I145" s="8">
        <v>50</v>
      </c>
      <c r="J145" s="14" t="s">
        <v>108</v>
      </c>
      <c r="N145" s="10" t="s">
        <v>216</v>
      </c>
      <c r="O145" s="10">
        <v>80</v>
      </c>
      <c r="P145" s="10" t="s">
        <v>257</v>
      </c>
      <c r="Q145" s="27">
        <v>90</v>
      </c>
      <c r="R145" s="10" t="s">
        <v>305</v>
      </c>
      <c r="BK145" s="8">
        <f t="shared" si="2"/>
        <v>61.666666666666664</v>
      </c>
      <c r="BL145" s="11" t="str" cm="1">
        <f t="array" ref="BL145">_xlfn.TEXTJOIN(" ", TRUE, _xlfn._xlws.FILTER(C145:BJ145, MOD(COLUMN(C145:BJ145)-COLUMN(BN145),2)=0))</f>
        <v xml:space="preserve">GOOD IN READING SHOWING INTEREST IN READING GOOD IN READING READING WELL GOOD IN READING SHOWING INTEREST IN READING CLASS CANCELLED INTRESTED IN HORROR STORIES PREFER FAIRY TALES TO READ HAVING LIBRARY MEMBERSHIP READS DAILY EVENING BOOKS </v>
      </c>
    </row>
    <row r="146" spans="1:64" ht="14.35" customHeight="1" x14ac:dyDescent="0.45">
      <c r="A146" s="29"/>
      <c r="B146" s="8" t="s">
        <v>45</v>
      </c>
      <c r="E146" s="8"/>
      <c r="I146" s="8"/>
      <c r="BK146" s="8" t="str">
        <f t="shared" si="2"/>
        <v/>
      </c>
      <c r="BL146" s="11" t="str" cm="1">
        <f t="array" ref="BL146">_xlfn.TEXTJOIN(" ", TRUE, _xlfn._xlws.FILTER(C146:BJ146, MOD(COLUMN(C146:BJ146)-COLUMN(BN146),2)=0))</f>
        <v/>
      </c>
    </row>
    <row r="147" spans="1:64" ht="14.35" customHeight="1" x14ac:dyDescent="0.45">
      <c r="A147" s="29" t="s">
        <v>324</v>
      </c>
      <c r="B147" s="8" t="s">
        <v>40</v>
      </c>
      <c r="E147" s="8"/>
      <c r="I147" s="8"/>
      <c r="K147" s="10">
        <v>76</v>
      </c>
      <c r="L147" s="10" t="s">
        <v>218</v>
      </c>
      <c r="BK147" s="8">
        <f t="shared" si="2"/>
        <v>76</v>
      </c>
      <c r="BL147" s="11" t="str" cm="1">
        <f t="array" ref="BL147">_xlfn.TEXTJOIN(" ", TRUE, _xlfn._xlws.FILTER(C147:BJ147, MOD(COLUMN(C147:BJ147)-COLUMN(BN147),2)=0))</f>
        <v>GOOD IN ENGLISH</v>
      </c>
    </row>
    <row r="148" spans="1:64" ht="14.35" customHeight="1" x14ac:dyDescent="0.45">
      <c r="A148" s="29"/>
      <c r="B148" s="8" t="s">
        <v>41</v>
      </c>
      <c r="D148" s="10" t="s">
        <v>80</v>
      </c>
      <c r="E148" s="8">
        <v>25</v>
      </c>
      <c r="F148" s="10" t="s">
        <v>107</v>
      </c>
      <c r="G148" s="8">
        <v>50</v>
      </c>
      <c r="H148" s="10" t="s">
        <v>136</v>
      </c>
      <c r="I148" s="8">
        <v>50</v>
      </c>
      <c r="J148" s="10" t="s">
        <v>136</v>
      </c>
      <c r="M148" s="23">
        <v>70</v>
      </c>
      <c r="N148" s="10" t="s">
        <v>278</v>
      </c>
      <c r="Q148" s="27">
        <v>90</v>
      </c>
      <c r="R148" s="10" t="s">
        <v>325</v>
      </c>
      <c r="BK148" s="8">
        <f t="shared" si="2"/>
        <v>57</v>
      </c>
      <c r="BL148" s="11" t="str" cm="1">
        <f t="array" ref="BL148">_xlfn.TEXTJOIN(" ", TRUE, _xlfn._xlws.FILTER(C148:BJ148, MOD(COLUMN(C148:BJ148)-COLUMN(BN148),2)=0))</f>
        <v>NO CLASS DUE TO HOLIDAY PLAYING WITHOUT ANY AIM PLAYING WELL IN SHUTTLE PLAYING WELL IN SHUTTLE PERFORMING WELL IN KHO KHO INTERESTED IN THROWBALL,KHABADI&amp;KHOKHO</v>
      </c>
    </row>
    <row r="149" spans="1:64" ht="14.35" customHeight="1" x14ac:dyDescent="0.45">
      <c r="A149" s="29"/>
      <c r="B149" s="8" t="s">
        <v>42</v>
      </c>
      <c r="D149" s="10" t="s">
        <v>80</v>
      </c>
      <c r="E149" s="8">
        <v>50</v>
      </c>
      <c r="F149" s="10" t="s">
        <v>88</v>
      </c>
      <c r="G149" s="8">
        <v>75</v>
      </c>
      <c r="H149" s="10" t="s">
        <v>137</v>
      </c>
      <c r="I149" s="19">
        <v>65</v>
      </c>
      <c r="J149" s="10" t="s">
        <v>88</v>
      </c>
      <c r="M149" s="19">
        <v>65</v>
      </c>
      <c r="N149" s="10" t="s">
        <v>276</v>
      </c>
      <c r="Q149" s="26">
        <v>80</v>
      </c>
      <c r="R149" s="10" t="s">
        <v>307</v>
      </c>
      <c r="BK149" s="8">
        <f t="shared" si="2"/>
        <v>67</v>
      </c>
      <c r="BL149" s="11" t="str" cm="1">
        <f t="array" ref="BL149">_xlfn.TEXTJOIN(" ", TRUE, _xlfn._xlws.FILTER(C149:BJ149, MOD(COLUMN(C149:BJ149)-COLUMN(BN149),2)=0))</f>
        <v>NO CLASS DUE TO HOLIDAY PERFORMING WELL NEED MOTIVATION,CAN IMPROVE SHOWING INTEREST NEED PRACTICE PERFORMING WELL NEED MOTIVATION,CAN IMPROVE PERFORMING WELL NEED MORE PRACTICE BASIC SKILLS LIKE DRAWING&amp;TYPING</v>
      </c>
    </row>
    <row r="150" spans="1:64" ht="14.35" customHeight="1" x14ac:dyDescent="0.45">
      <c r="A150" s="29"/>
      <c r="B150" s="8" t="s">
        <v>43</v>
      </c>
      <c r="C150" s="8">
        <v>50</v>
      </c>
      <c r="D150" s="10" t="s">
        <v>103</v>
      </c>
      <c r="E150" s="8">
        <v>50</v>
      </c>
      <c r="F150" s="10" t="s">
        <v>92</v>
      </c>
      <c r="G150" s="16">
        <v>65</v>
      </c>
      <c r="H150" s="10" t="s">
        <v>92</v>
      </c>
      <c r="I150" s="8">
        <v>50</v>
      </c>
      <c r="J150" s="10" t="s">
        <v>128</v>
      </c>
      <c r="M150" s="10">
        <v>65</v>
      </c>
      <c r="N150" s="10" t="s">
        <v>98</v>
      </c>
      <c r="O150" s="24">
        <v>60</v>
      </c>
      <c r="P150" s="10" t="s">
        <v>298</v>
      </c>
      <c r="Q150" s="26">
        <v>80</v>
      </c>
      <c r="R150" s="10" t="s">
        <v>295</v>
      </c>
      <c r="BK150" s="8">
        <f t="shared" si="2"/>
        <v>60</v>
      </c>
      <c r="BL150" s="11" t="str" cm="1">
        <f t="array" ref="BL150">_xlfn.TEXTJOIN(" ", TRUE, _xlfn._xlws.FILTER(C150:BJ150, MOD(COLUMN(C150:BJ150)-COLUMN(BN150),2)=0))</f>
        <v>TRYING TO DRAW ON HER OWN TRYING TO SIMPLIFY THE FIGURE,CAN IMPROVE TRYING TO SIMPLIFY THE FIGURE,CAN IMPROVE DOING GOOD CAN BE IMPROVE MORE  NEED TO PRACTICE MORE NEED TO RECHECK  THE CURVES SHOWING WILLINGNESS IN DRAWING</v>
      </c>
    </row>
    <row r="151" spans="1:64" ht="14.35" customHeight="1" x14ac:dyDescent="0.45">
      <c r="A151" s="29"/>
      <c r="B151" s="8" t="s">
        <v>44</v>
      </c>
      <c r="C151" s="9">
        <v>50</v>
      </c>
      <c r="D151" s="14" t="s">
        <v>108</v>
      </c>
      <c r="E151" s="8">
        <v>50</v>
      </c>
      <c r="F151" s="10" t="s">
        <v>112</v>
      </c>
      <c r="G151" s="8">
        <v>50</v>
      </c>
      <c r="H151" s="10" t="s">
        <v>146</v>
      </c>
      <c r="I151" s="8">
        <v>50</v>
      </c>
      <c r="J151" s="14" t="s">
        <v>108</v>
      </c>
      <c r="N151" s="10" t="s">
        <v>216</v>
      </c>
      <c r="O151" s="10">
        <v>50</v>
      </c>
      <c r="P151" s="10" t="s">
        <v>262</v>
      </c>
      <c r="Q151" s="27">
        <v>90</v>
      </c>
      <c r="R151" s="10" t="s">
        <v>326</v>
      </c>
      <c r="BK151" s="8">
        <f t="shared" si="2"/>
        <v>56.666666666666664</v>
      </c>
      <c r="BL151" s="11" t="str" cm="1">
        <f t="array" ref="BL151">_xlfn.TEXTJOIN(" ", TRUE, _xlfn._xlws.FILTER(C151:BJ151, MOD(COLUMN(C151:BJ151)-COLUMN(BN151),2)=0))</f>
        <v>GOOD IN READING SHOWING INTEREST IN READING GOOD IN READING READING WELL GOOD IN READING SHOWING INTEREST IN READING CLASS CANCELLED INTERESTED IN READING BOOKS, BUT VERY CHOOSY IN SELECTION PREFER TO READ MORAL STORIES HAVE A HABIT OF READING BOOKS AT HOME ALSO</v>
      </c>
    </row>
    <row r="152" spans="1:64" ht="14.35" customHeight="1" x14ac:dyDescent="0.45">
      <c r="A152" s="29"/>
      <c r="B152" s="8" t="s">
        <v>45</v>
      </c>
      <c r="E152" s="8"/>
      <c r="I152" s="8"/>
      <c r="BK152" s="8" t="str">
        <f t="shared" si="2"/>
        <v/>
      </c>
      <c r="BL152" s="11" t="str" cm="1">
        <f t="array" ref="BL152">_xlfn.TEXTJOIN(" ", TRUE, _xlfn._xlws.FILTER(C152:BJ152, MOD(COLUMN(C152:BJ152)-COLUMN(BN152),2)=0))</f>
        <v/>
      </c>
    </row>
    <row r="153" spans="1:64" ht="14.35" customHeight="1" x14ac:dyDescent="0.45">
      <c r="A153" s="29" t="s">
        <v>69</v>
      </c>
      <c r="B153" s="8" t="s">
        <v>40</v>
      </c>
      <c r="E153" s="8"/>
      <c r="I153" s="8"/>
      <c r="K153" s="19">
        <v>75</v>
      </c>
      <c r="L153" s="10" t="s">
        <v>176</v>
      </c>
      <c r="BK153" s="8">
        <f t="shared" si="2"/>
        <v>75</v>
      </c>
      <c r="BL153" s="11" t="str" cm="1">
        <f t="array" ref="BL153">_xlfn.TEXTJOIN(" ", TRUE, _xlfn._xlws.FILTER(C153:BJ153, MOD(COLUMN(C153:BJ153)-COLUMN(BN153),2)=0))</f>
        <v>INTERESTED IN ENGLISH POEMS</v>
      </c>
    </row>
    <row r="154" spans="1:64" ht="14.35" customHeight="1" x14ac:dyDescent="0.45">
      <c r="A154" s="29"/>
      <c r="B154" s="8" t="s">
        <v>41</v>
      </c>
      <c r="D154" s="10" t="s">
        <v>80</v>
      </c>
      <c r="E154" s="8">
        <v>25</v>
      </c>
      <c r="F154" s="10" t="s">
        <v>107</v>
      </c>
      <c r="G154" s="8">
        <v>50</v>
      </c>
      <c r="H154" s="10" t="s">
        <v>136</v>
      </c>
      <c r="I154" s="8">
        <v>50</v>
      </c>
      <c r="J154" s="10" t="s">
        <v>136</v>
      </c>
      <c r="K154" s="8">
        <v>75</v>
      </c>
      <c r="L154" s="10" t="s">
        <v>168</v>
      </c>
      <c r="M154" s="23">
        <v>70</v>
      </c>
      <c r="N154" s="10" t="s">
        <v>278</v>
      </c>
      <c r="Q154" s="27">
        <v>90</v>
      </c>
      <c r="R154" s="10" t="s">
        <v>312</v>
      </c>
      <c r="BK154" s="8">
        <f t="shared" si="2"/>
        <v>60</v>
      </c>
      <c r="BL154" s="11" t="str" cm="1">
        <f t="array" ref="BL154">_xlfn.TEXTJOIN(" ", TRUE, _xlfn._xlws.FILTER(C154:BJ154, MOD(COLUMN(C154:BJ154)-COLUMN(BN154),2)=0))</f>
        <v>NO CLASS DUE TO HOLIDAY PLAYING WITHOUT ANY AIM PLAYING WELL IN SHUTTLE PLAYING WELL IN SHUTTLE INTERSTED IN KHO-KHO PERFORMING WELL IN KHO KHO INTERESTED IN THROWBALL,KHABADI&amp;PARTICIPATED IN 200MTS RUNNING RACE</v>
      </c>
    </row>
    <row r="155" spans="1:64" ht="14.35" customHeight="1" x14ac:dyDescent="0.45">
      <c r="A155" s="29"/>
      <c r="B155" s="8" t="s">
        <v>42</v>
      </c>
      <c r="D155" s="10" t="s">
        <v>80</v>
      </c>
      <c r="E155" s="8">
        <v>50</v>
      </c>
      <c r="F155" s="10" t="s">
        <v>88</v>
      </c>
      <c r="G155" s="8">
        <v>75</v>
      </c>
      <c r="H155" s="10" t="s">
        <v>137</v>
      </c>
      <c r="I155" s="19">
        <v>65</v>
      </c>
      <c r="J155" s="10" t="s">
        <v>88</v>
      </c>
      <c r="K155" s="8">
        <v>75</v>
      </c>
      <c r="L155" s="10" t="s">
        <v>177</v>
      </c>
      <c r="M155" s="19">
        <v>65</v>
      </c>
      <c r="N155" s="10" t="s">
        <v>276</v>
      </c>
      <c r="Q155" s="26">
        <v>80</v>
      </c>
      <c r="R155" s="10" t="s">
        <v>307</v>
      </c>
      <c r="BK155" s="8">
        <f t="shared" si="2"/>
        <v>68.333333333333329</v>
      </c>
      <c r="BL155" s="11" t="str" cm="1">
        <f t="array" ref="BL155">_xlfn.TEXTJOIN(" ", TRUE, _xlfn._xlws.FILTER(C155:BJ155, MOD(COLUMN(C155:BJ155)-COLUMN(BN155),2)=0))</f>
        <v>NO CLASS DUE TO HOLIDAY PERFORMING WELL NEED MOTIVATION,CAN IMPROVE SHOWING INTEREST NEED PRACTICE PERFORMING WELL NEED MOTIVATION,CAN IMPROVE INTERESTED IN TYPING,PLAYING AGMES LIKE SUBWAY SURFRS PERFORMING WELL NEED MORE PRACTICE BASIC SKILLS LIKE DRAWING&amp;TYPING</v>
      </c>
    </row>
    <row r="156" spans="1:64" ht="14.35" customHeight="1" x14ac:dyDescent="0.45">
      <c r="A156" s="29"/>
      <c r="B156" s="8" t="s">
        <v>43</v>
      </c>
      <c r="C156" s="8">
        <v>50</v>
      </c>
      <c r="D156" s="10" t="s">
        <v>104</v>
      </c>
      <c r="E156" s="8">
        <v>50</v>
      </c>
      <c r="F156" s="10" t="s">
        <v>93</v>
      </c>
      <c r="G156" s="16">
        <v>65</v>
      </c>
      <c r="H156" s="10" t="s">
        <v>93</v>
      </c>
      <c r="I156" s="8">
        <v>25</v>
      </c>
      <c r="J156" s="10" t="s">
        <v>126</v>
      </c>
      <c r="K156" s="8"/>
      <c r="M156" s="10">
        <v>75</v>
      </c>
      <c r="N156" s="10" t="s">
        <v>247</v>
      </c>
      <c r="O156" s="23">
        <v>70</v>
      </c>
      <c r="P156" s="10" t="s">
        <v>283</v>
      </c>
      <c r="Q156" s="26">
        <v>80</v>
      </c>
      <c r="R156" s="10" t="s">
        <v>245</v>
      </c>
      <c r="BK156" s="8">
        <f t="shared" si="2"/>
        <v>59.285714285714285</v>
      </c>
      <c r="BL156" s="11" t="str" cm="1">
        <f t="array" ref="BL156">_xlfn.TEXTJOIN(" ", TRUE, _xlfn._xlws.FILTER(C156:BJ156, MOD(COLUMN(C156:BJ156)-COLUMN(BN156),2)=0))</f>
        <v>GOOD BUT DOING WORK SLOW  NEED TO REFINE THE FIGURE NEED TO REFINE THE FIGURE JUST PARTICIPATING PUT EFFORTS INTO THE DETAILING OF THE FIGURE GOOD CREATIVE ELEMENTS SHOWING PROGRESS IN DRAWING</v>
      </c>
    </row>
    <row r="157" spans="1:64" ht="14.35" customHeight="1" x14ac:dyDescent="0.45">
      <c r="A157" s="29"/>
      <c r="B157" s="8" t="s">
        <v>44</v>
      </c>
      <c r="C157" s="9">
        <v>50</v>
      </c>
      <c r="D157" s="14" t="s">
        <v>108</v>
      </c>
      <c r="E157" s="8">
        <v>50</v>
      </c>
      <c r="F157" s="10" t="s">
        <v>112</v>
      </c>
      <c r="G157" s="8">
        <v>50</v>
      </c>
      <c r="H157" s="10" t="s">
        <v>146</v>
      </c>
      <c r="I157" s="8">
        <v>50</v>
      </c>
      <c r="J157" s="14" t="s">
        <v>108</v>
      </c>
      <c r="K157" s="19">
        <v>65</v>
      </c>
      <c r="L157" s="10" t="s">
        <v>154</v>
      </c>
      <c r="N157" s="10" t="s">
        <v>216</v>
      </c>
      <c r="O157" s="10">
        <v>70</v>
      </c>
      <c r="P157" s="10" t="s">
        <v>261</v>
      </c>
      <c r="Q157" s="27">
        <v>90</v>
      </c>
      <c r="R157" s="10" t="s">
        <v>313</v>
      </c>
      <c r="BK157" s="8">
        <f t="shared" si="2"/>
        <v>60.714285714285715</v>
      </c>
      <c r="BL157" s="11" t="str" cm="1">
        <f t="array" ref="BL157">_xlfn.TEXTJOIN(" ", TRUE, _xlfn._xlws.FILTER(C157:BJ157, MOD(COLUMN(C157:BJ157)-COLUMN(BN157),2)=0))</f>
        <v>GOOD IN READING SHOWING INTEREST IN READING GOOD IN READING READING WELL GOOD IN READING SHOWING INTEREST IN READING INTERESTED IN STORY BOOKS CLASS CANCELLED INTERESTED IN STORY BOOKS,TRYING TO FIGURE OUT THE STORY PREFER TO READ ADVENTURES STORIES.HAVE A HABIT OF READING BOOKS THROUGH MOBILE PHONE</v>
      </c>
    </row>
    <row r="158" spans="1:64" ht="14.35" customHeight="1" x14ac:dyDescent="0.45">
      <c r="A158" s="29"/>
      <c r="B158" s="8" t="s">
        <v>45</v>
      </c>
      <c r="E158" s="8"/>
      <c r="I158" s="8"/>
      <c r="BK158" s="8" t="str">
        <f t="shared" si="2"/>
        <v/>
      </c>
      <c r="BL158" s="11" t="str" cm="1">
        <f t="array" ref="BL158">_xlfn.TEXTJOIN(" ", TRUE, _xlfn._xlws.FILTER(C158:BJ158, MOD(COLUMN(C158:BJ158)-COLUMN(BN158),2)=0))</f>
        <v/>
      </c>
    </row>
    <row r="159" spans="1:64" ht="14.35" customHeight="1" x14ac:dyDescent="0.45">
      <c r="A159" s="29" t="s">
        <v>70</v>
      </c>
      <c r="B159" s="8" t="s">
        <v>40</v>
      </c>
      <c r="E159" s="8"/>
      <c r="I159" s="8"/>
      <c r="K159" s="8">
        <v>52</v>
      </c>
      <c r="L159" s="10" t="s">
        <v>155</v>
      </c>
      <c r="BK159" s="8">
        <f t="shared" si="2"/>
        <v>52</v>
      </c>
      <c r="BL159" s="11" t="str" cm="1">
        <f t="array" ref="BL159">_xlfn.TEXTJOIN(" ", TRUE, _xlfn._xlws.FILTER(C159:BJ159, MOD(COLUMN(C159:BJ159)-COLUMN(BN159),2)=0))</f>
        <v>INTERESTED IN ENGLISH ESPECIALLY IN POEMS</v>
      </c>
    </row>
    <row r="160" spans="1:64" ht="14.35" customHeight="1" x14ac:dyDescent="0.45">
      <c r="A160" s="29"/>
      <c r="B160" s="8" t="s">
        <v>41</v>
      </c>
      <c r="D160" s="10" t="s">
        <v>80</v>
      </c>
      <c r="E160" s="8">
        <v>25</v>
      </c>
      <c r="F160" s="10" t="s">
        <v>107</v>
      </c>
      <c r="G160" s="8">
        <v>50</v>
      </c>
      <c r="H160" s="10" t="s">
        <v>136</v>
      </c>
      <c r="I160" s="8">
        <v>50</v>
      </c>
      <c r="J160" s="10" t="s">
        <v>136</v>
      </c>
      <c r="K160" s="8"/>
      <c r="M160" s="23">
        <v>70</v>
      </c>
      <c r="N160" s="10" t="s">
        <v>278</v>
      </c>
      <c r="Q160" s="26">
        <v>80</v>
      </c>
      <c r="R160" s="10" t="s">
        <v>310</v>
      </c>
      <c r="BK160" s="8">
        <f t="shared" si="2"/>
        <v>55</v>
      </c>
      <c r="BL160" s="11" t="str" cm="1">
        <f t="array" ref="BL160">_xlfn.TEXTJOIN(" ", TRUE, _xlfn._xlws.FILTER(C160:BJ160, MOD(COLUMN(C160:BJ160)-COLUMN(BN160),2)=0))</f>
        <v>NO CLASS DUE TO HOLIDAY PLAYING WITHOUT ANY AIM PLAYING WELL IN SHUTTLE PLAYING WELL IN SHUTTLE PERFORMING WELL IN KHO KHO INTERESTED IN THROWBALL,KHABADI</v>
      </c>
    </row>
    <row r="161" spans="1:64" ht="14.35" customHeight="1" x14ac:dyDescent="0.45">
      <c r="A161" s="29"/>
      <c r="B161" s="8" t="s">
        <v>42</v>
      </c>
      <c r="D161" s="10" t="s">
        <v>80</v>
      </c>
      <c r="E161" s="8">
        <v>50</v>
      </c>
      <c r="F161" s="10" t="s">
        <v>88</v>
      </c>
      <c r="G161" s="8">
        <v>75</v>
      </c>
      <c r="H161" s="10" t="s">
        <v>137</v>
      </c>
      <c r="I161" s="19">
        <v>65</v>
      </c>
      <c r="J161" s="10" t="s">
        <v>88</v>
      </c>
      <c r="K161" s="19">
        <v>65</v>
      </c>
      <c r="L161" s="10" t="s">
        <v>157</v>
      </c>
      <c r="M161" s="19">
        <v>65</v>
      </c>
      <c r="N161" s="10" t="s">
        <v>276</v>
      </c>
      <c r="Q161" s="26">
        <v>80</v>
      </c>
      <c r="R161" s="10" t="s">
        <v>307</v>
      </c>
      <c r="BK161" s="8">
        <f t="shared" si="2"/>
        <v>66.666666666666671</v>
      </c>
      <c r="BL161" s="11" t="str" cm="1">
        <f t="array" ref="BL161">_xlfn.TEXTJOIN(" ", TRUE, _xlfn._xlws.FILTER(C161:BJ161, MOD(COLUMN(C161:BJ161)-COLUMN(BN161),2)=0))</f>
        <v>NO CLASS DUE TO HOLIDAY PERFORMING WELL NEED MOTIVATION,CAN IMPROVE SHOWING INTEREST NEED PRACTICE PERFORMING WELL NEED MOTIVATION,CAN IMPROVE INTERESTED IN TYPING, &amp; DRAWING IN COMPUTER PERFORMING WELL NEED MORE PRACTICE BASIC SKILLS LIKE DRAWING&amp;TYPING</v>
      </c>
    </row>
    <row r="162" spans="1:64" ht="14.35" customHeight="1" x14ac:dyDescent="0.45">
      <c r="A162" s="29"/>
      <c r="B162" s="8" t="s">
        <v>43</v>
      </c>
      <c r="C162" s="8" t="s">
        <v>79</v>
      </c>
      <c r="D162" s="10" t="s">
        <v>79</v>
      </c>
      <c r="E162" s="8">
        <v>25</v>
      </c>
      <c r="F162" s="10" t="s">
        <v>82</v>
      </c>
      <c r="G162" s="8" t="s">
        <v>79</v>
      </c>
      <c r="H162" s="10" t="s">
        <v>79</v>
      </c>
      <c r="I162" s="8" t="s">
        <v>79</v>
      </c>
      <c r="J162" s="10" t="s">
        <v>131</v>
      </c>
      <c r="K162" s="8">
        <v>75</v>
      </c>
      <c r="L162" s="10" t="s">
        <v>156</v>
      </c>
      <c r="M162" s="10">
        <v>70</v>
      </c>
      <c r="N162" s="10" t="s">
        <v>248</v>
      </c>
      <c r="O162" s="24">
        <v>60</v>
      </c>
      <c r="P162" s="10" t="s">
        <v>297</v>
      </c>
      <c r="Q162" s="26">
        <v>80</v>
      </c>
      <c r="R162" s="10" t="s">
        <v>245</v>
      </c>
      <c r="BK162" s="8">
        <f t="shared" si="2"/>
        <v>62</v>
      </c>
      <c r="BL162" s="11" t="str" cm="1">
        <f t="array" ref="BL162">_xlfn.TEXTJOIN(" ", TRUE, _xlfn._xlws.FILTER(C162:BJ162, MOD(COLUMN(C162:BJ162)-COLUMN(BN162),2)=0))</f>
        <v>AB NEUTRAL PARTICIPATION AB ABSENT INTERESTED IN COLOURING GOOD OBSERVATION NEED TO FOCUS ON THE FIGURE MEASUREMENT SHOWING PROGRESS IN DRAWING</v>
      </c>
    </row>
    <row r="163" spans="1:64" ht="14.35" customHeight="1" x14ac:dyDescent="0.45">
      <c r="A163" s="29"/>
      <c r="B163" s="8" t="s">
        <v>44</v>
      </c>
      <c r="C163" s="9">
        <v>50</v>
      </c>
      <c r="D163" s="14" t="s">
        <v>108</v>
      </c>
      <c r="E163" s="8">
        <v>50</v>
      </c>
      <c r="F163" s="10" t="s">
        <v>112</v>
      </c>
      <c r="G163" s="8">
        <v>50</v>
      </c>
      <c r="H163" s="10" t="s">
        <v>146</v>
      </c>
      <c r="I163" s="8">
        <v>50</v>
      </c>
      <c r="J163" s="14" t="s">
        <v>108</v>
      </c>
      <c r="K163" s="8">
        <v>75</v>
      </c>
      <c r="L163" s="10" t="s">
        <v>158</v>
      </c>
      <c r="N163" s="10" t="s">
        <v>216</v>
      </c>
      <c r="O163" s="10">
        <v>65</v>
      </c>
      <c r="P163" s="10" t="s">
        <v>254</v>
      </c>
      <c r="Q163" s="27">
        <v>90</v>
      </c>
      <c r="R163" s="10" t="s">
        <v>311</v>
      </c>
      <c r="BK163" s="8">
        <f t="shared" si="2"/>
        <v>61.428571428571431</v>
      </c>
      <c r="BL163" s="11" t="str" cm="1">
        <f t="array" ref="BL163">_xlfn.TEXTJOIN(" ", TRUE, _xlfn._xlws.FILTER(C163:BJ163, MOD(COLUMN(C163:BJ163)-COLUMN(BN163),2)=0))</f>
        <v>GOOD IN READING SHOWING INTEREST IN READING GOOD IN READING READING WELL GOOD IN READING SHOWING INTEREST IN READING INTERESTED IN ANIME BOOKS CLASS CANCELLED INTERESTED IN READING BOOKS PREFER TO READ HORROR STORIES,USING CHATGPT AND READ STORIES IN PHONE AT FREE TIME</v>
      </c>
    </row>
    <row r="164" spans="1:64" ht="14.35" customHeight="1" x14ac:dyDescent="0.45">
      <c r="A164" s="29"/>
      <c r="B164" s="8" t="s">
        <v>45</v>
      </c>
      <c r="E164" s="8"/>
      <c r="I164" s="8"/>
      <c r="BK164" s="8" t="str">
        <f t="shared" si="2"/>
        <v/>
      </c>
      <c r="BL164" s="11" t="str" cm="1">
        <f t="array" ref="BL164">_xlfn.TEXTJOIN(" ", TRUE, _xlfn._xlws.FILTER(C164:BJ164, MOD(COLUMN(C164:BJ164)-COLUMN(BN164),2)=0))</f>
        <v/>
      </c>
    </row>
    <row r="165" spans="1:64" ht="14.35" customHeight="1" x14ac:dyDescent="0.45">
      <c r="A165" s="29" t="s">
        <v>71</v>
      </c>
      <c r="B165" s="8" t="s">
        <v>40</v>
      </c>
      <c r="E165" s="8"/>
      <c r="I165" s="8"/>
      <c r="K165" s="19">
        <v>55</v>
      </c>
      <c r="L165" s="10" t="s">
        <v>170</v>
      </c>
      <c r="BK165" s="8">
        <f t="shared" si="2"/>
        <v>55</v>
      </c>
      <c r="BL165" s="11" t="str" cm="1">
        <f t="array" ref="BL165">_xlfn.TEXTJOIN(" ", TRUE, _xlfn._xlws.FILTER(C165:BJ165, MOD(COLUMN(C165:BJ165)-COLUMN(BN165),2)=0))</f>
        <v>INTERESTED IN  ENGLISH POEMS</v>
      </c>
    </row>
    <row r="166" spans="1:64" ht="14.35" customHeight="1" x14ac:dyDescent="0.45">
      <c r="A166" s="29"/>
      <c r="B166" s="8" t="s">
        <v>41</v>
      </c>
      <c r="D166" s="10" t="s">
        <v>80</v>
      </c>
      <c r="E166" s="8">
        <v>25</v>
      </c>
      <c r="F166" s="10" t="s">
        <v>107</v>
      </c>
      <c r="G166" s="8">
        <v>50</v>
      </c>
      <c r="H166" s="10" t="s">
        <v>136</v>
      </c>
      <c r="I166" s="8">
        <v>50</v>
      </c>
      <c r="J166" s="10" t="s">
        <v>136</v>
      </c>
      <c r="K166" s="8">
        <v>75</v>
      </c>
      <c r="L166" s="10" t="s">
        <v>161</v>
      </c>
      <c r="M166" s="23">
        <v>70</v>
      </c>
      <c r="N166" s="10" t="s">
        <v>278</v>
      </c>
      <c r="Q166" s="28">
        <v>95</v>
      </c>
      <c r="R166" s="10" t="s">
        <v>347</v>
      </c>
      <c r="BK166" s="8">
        <f t="shared" si="2"/>
        <v>60.833333333333336</v>
      </c>
      <c r="BL166" s="11" t="str" cm="1">
        <f t="array" ref="BL166">_xlfn.TEXTJOIN(" ", TRUE, _xlfn._xlws.FILTER(C166:BJ166, MOD(COLUMN(C166:BJ166)-COLUMN(BN166),2)=0))</f>
        <v>NO CLASS DUE TO HOLIDAY PLAYING WITHOUT ANY AIM PLAYING WELL IN SHUTTLE PLAYING WELL IN SHUTTLE INTERESTED IN KHO-KHO PERFORMING WELL IN KHO KHO INTERESTED IN THROWBALL,KHABADI,KHOKHO</v>
      </c>
    </row>
    <row r="167" spans="1:64" ht="14.35" customHeight="1" x14ac:dyDescent="0.45">
      <c r="A167" s="29"/>
      <c r="B167" s="8" t="s">
        <v>42</v>
      </c>
      <c r="D167" s="10" t="s">
        <v>80</v>
      </c>
      <c r="E167" s="8">
        <v>50</v>
      </c>
      <c r="F167" s="10" t="s">
        <v>88</v>
      </c>
      <c r="G167" s="8">
        <v>75</v>
      </c>
      <c r="H167" s="10" t="s">
        <v>137</v>
      </c>
      <c r="I167" s="19">
        <v>65</v>
      </c>
      <c r="J167" s="10" t="s">
        <v>88</v>
      </c>
      <c r="K167" s="19">
        <v>65</v>
      </c>
      <c r="L167" s="10" t="s">
        <v>171</v>
      </c>
      <c r="M167" s="19">
        <v>65</v>
      </c>
      <c r="N167" s="10" t="s">
        <v>276</v>
      </c>
      <c r="Q167" s="26">
        <v>80</v>
      </c>
      <c r="R167" s="10" t="s">
        <v>334</v>
      </c>
      <c r="BK167" s="8">
        <f t="shared" si="2"/>
        <v>66.666666666666671</v>
      </c>
      <c r="BL167" s="11" t="str" cm="1">
        <f t="array" ref="BL167">_xlfn.TEXTJOIN(" ", TRUE, _xlfn._xlws.FILTER(C167:BJ167, MOD(COLUMN(C167:BJ167)-COLUMN(BN167),2)=0))</f>
        <v>NO CLASS DUE TO HOLIDAY PERFORMING WELL NEED MOTIVATION,CAN IMPROVE SHOWING INTEREST NEED PRACTICE PERFORMING WELL NEED MOTIVATION,CAN IMPROVE INTERESTED IN TYPING  PERFORMING WELL NEED MORE PRACTICE KNOWS BASIC SKILLS LIKE DRAWING &amp;TYPING PRACTICE AT HOME ALSO</v>
      </c>
    </row>
    <row r="168" spans="1:64" ht="14.35" customHeight="1" x14ac:dyDescent="0.45">
      <c r="A168" s="29"/>
      <c r="B168" s="8" t="s">
        <v>43</v>
      </c>
      <c r="C168" s="8">
        <v>50</v>
      </c>
      <c r="D168" s="10" t="s">
        <v>105</v>
      </c>
      <c r="E168" s="8">
        <v>25</v>
      </c>
      <c r="F168" s="10" t="s">
        <v>82</v>
      </c>
      <c r="G168" s="8" t="s">
        <v>79</v>
      </c>
      <c r="H168" s="10" t="s">
        <v>79</v>
      </c>
      <c r="I168" s="8" t="s">
        <v>79</v>
      </c>
      <c r="J168" s="10" t="s">
        <v>135</v>
      </c>
      <c r="K168" s="8">
        <v>75</v>
      </c>
      <c r="L168" s="10" t="s">
        <v>172</v>
      </c>
      <c r="M168" s="10">
        <v>65</v>
      </c>
      <c r="N168" s="10" t="s">
        <v>249</v>
      </c>
      <c r="O168" s="19">
        <v>65</v>
      </c>
      <c r="P168" s="10" t="s">
        <v>251</v>
      </c>
      <c r="Q168" s="26">
        <v>80</v>
      </c>
      <c r="R168" s="10" t="s">
        <v>245</v>
      </c>
      <c r="BK168" s="8">
        <f t="shared" si="2"/>
        <v>60</v>
      </c>
      <c r="BL168" s="11" t="str" cm="1">
        <f t="array" ref="BL168">_xlfn.TEXTJOIN(" ", TRUE, _xlfn._xlws.FILTER(C168:BJ168, MOD(COLUMN(C168:BJ168)-COLUMN(BN168),2)=0))</f>
        <v>GOOD IN DRAWING HER OWN WITHOUT TAKING HELP NEUTRAL PARTICIPATION AB ABSNET INTERETSED FLOWER DRAWING NEED TO RECHECK THE CURVES NEED TO REDUCE THE PRESSURE OF THE PENCIL SHOWING PROGRESS IN DRAWING</v>
      </c>
    </row>
    <row r="169" spans="1:64" ht="14.35" customHeight="1" x14ac:dyDescent="0.45">
      <c r="A169" s="29"/>
      <c r="B169" s="8" t="s">
        <v>44</v>
      </c>
      <c r="C169" s="9">
        <v>50</v>
      </c>
      <c r="D169" s="14" t="s">
        <v>108</v>
      </c>
      <c r="E169" s="8">
        <v>50</v>
      </c>
      <c r="F169" s="10" t="s">
        <v>112</v>
      </c>
      <c r="G169" s="8">
        <v>50</v>
      </c>
      <c r="H169" s="10" t="s">
        <v>140</v>
      </c>
      <c r="I169" s="8">
        <v>50</v>
      </c>
      <c r="J169" s="10" t="s">
        <v>140</v>
      </c>
      <c r="K169" s="8">
        <v>75</v>
      </c>
      <c r="L169" s="10" t="s">
        <v>173</v>
      </c>
      <c r="N169" s="10" t="s">
        <v>216</v>
      </c>
      <c r="O169" s="10">
        <v>50</v>
      </c>
      <c r="P169" s="10" t="s">
        <v>258</v>
      </c>
      <c r="Q169" s="26">
        <v>80</v>
      </c>
      <c r="R169" s="10" t="s">
        <v>327</v>
      </c>
      <c r="BK169" s="8">
        <f t="shared" si="2"/>
        <v>57.857142857142854</v>
      </c>
      <c r="BL169" s="11" t="str" cm="1">
        <f t="array" ref="BL169">_xlfn.TEXTJOIN(" ", TRUE, _xlfn._xlws.FILTER(C169:BJ169, MOD(COLUMN(C169:BJ169)-COLUMN(BN169),2)=0))</f>
        <v xml:space="preserve">GOOD IN READING SHOWING INTEREST IN READING GOOD IN READING NEED TO IMPROVE READING ABILITY NEED TO IMPROVE READING ABILITY INTERETSED IN HORROR BOOKS CLASS CANCELLED GOOD AT READING, IMPROVE IN COMMUNICATON SKILLS PREFER MORAL STORIES TO READ </v>
      </c>
    </row>
    <row r="170" spans="1:64" ht="14.35" customHeight="1" x14ac:dyDescent="0.45">
      <c r="A170" s="29"/>
      <c r="B170" s="8" t="s">
        <v>45</v>
      </c>
      <c r="E170" s="8"/>
      <c r="I170" s="8"/>
      <c r="BK170" s="8" t="str">
        <f t="shared" si="2"/>
        <v/>
      </c>
      <c r="BL170" s="11" t="str" cm="1">
        <f t="array" ref="BL170">_xlfn.TEXTJOIN(" ", TRUE, _xlfn._xlws.FILTER(C170:BJ170, MOD(COLUMN(C170:BJ170)-COLUMN(BN170),2)=0))</f>
        <v/>
      </c>
    </row>
    <row r="171" spans="1:64" ht="14.35" customHeight="1" x14ac:dyDescent="0.45">
      <c r="A171" s="29" t="s">
        <v>72</v>
      </c>
      <c r="B171" s="8" t="s">
        <v>40</v>
      </c>
      <c r="E171" s="8"/>
      <c r="I171" s="8"/>
      <c r="K171" s="8">
        <v>75</v>
      </c>
      <c r="L171" s="10" t="s">
        <v>164</v>
      </c>
      <c r="BK171" s="8">
        <f t="shared" si="2"/>
        <v>75</v>
      </c>
      <c r="BL171" s="11" t="str" cm="1">
        <f t="array" ref="BL171">_xlfn.TEXTJOIN(" ", TRUE, _xlfn._xlws.FILTER(C171:BJ171, MOD(COLUMN(C171:BJ171)-COLUMN(BN171),2)=0))</f>
        <v>INTERESTED IN SCIENCE ESPECIALLY ACID &amp; BASES</v>
      </c>
    </row>
    <row r="172" spans="1:64" ht="14.35" customHeight="1" x14ac:dyDescent="0.45">
      <c r="A172" s="29"/>
      <c r="B172" s="8" t="s">
        <v>41</v>
      </c>
      <c r="D172" s="10" t="s">
        <v>80</v>
      </c>
      <c r="E172" s="8">
        <v>25</v>
      </c>
      <c r="F172" s="10" t="s">
        <v>107</v>
      </c>
      <c r="G172" s="8">
        <v>50</v>
      </c>
      <c r="H172" s="10" t="s">
        <v>136</v>
      </c>
      <c r="I172" s="8">
        <v>50</v>
      </c>
      <c r="J172" s="10" t="s">
        <v>136</v>
      </c>
      <c r="K172" s="19">
        <v>65</v>
      </c>
      <c r="L172" s="10" t="s">
        <v>159</v>
      </c>
      <c r="M172" s="23">
        <v>70</v>
      </c>
      <c r="N172" s="10" t="s">
        <v>278</v>
      </c>
      <c r="Q172" s="27">
        <v>90</v>
      </c>
      <c r="R172" s="34" t="s">
        <v>348</v>
      </c>
      <c r="BK172" s="8">
        <f t="shared" si="2"/>
        <v>58.333333333333336</v>
      </c>
      <c r="BL172" s="11" t="str" cm="1">
        <f t="array" ref="BL172">_xlfn.TEXTJOIN(" ", TRUE, _xlfn._xlws.FILTER(C172:BJ172, MOD(COLUMN(C172:BJ172)-COLUMN(BN172),2)=0))</f>
        <v>NO CLASS DUE TO HOLIDAY PLAYING WITHOUT ANY AIM PLAYING WELL IN SHUTTLE PLAYING WELL IN SHUTTLE INTERESTED IN TENNIES PERFORMING WELL IN KHO KHO INTERESTED IN THROWBALL,KHOKHO&amp;PARTICIPATED IN 100MTS RUNNING RACE</v>
      </c>
    </row>
    <row r="173" spans="1:64" ht="14.35" customHeight="1" x14ac:dyDescent="0.45">
      <c r="A173" s="29"/>
      <c r="B173" s="8" t="s">
        <v>42</v>
      </c>
      <c r="D173" s="10" t="s">
        <v>80</v>
      </c>
      <c r="E173" s="8">
        <v>50</v>
      </c>
      <c r="F173" s="10" t="s">
        <v>88</v>
      </c>
      <c r="G173" s="8">
        <v>75</v>
      </c>
      <c r="H173" s="10" t="s">
        <v>137</v>
      </c>
      <c r="I173" s="19">
        <v>65</v>
      </c>
      <c r="J173" s="10" t="s">
        <v>88</v>
      </c>
      <c r="K173" s="8">
        <v>75</v>
      </c>
      <c r="L173" s="10" t="s">
        <v>165</v>
      </c>
      <c r="M173" s="19">
        <v>65</v>
      </c>
      <c r="N173" s="10" t="s">
        <v>276</v>
      </c>
      <c r="O173" s="10" t="s">
        <v>79</v>
      </c>
      <c r="P173" s="10" t="s">
        <v>79</v>
      </c>
      <c r="Q173" s="26">
        <v>80</v>
      </c>
      <c r="R173" s="10" t="s">
        <v>334</v>
      </c>
      <c r="BK173" s="8">
        <f t="shared" si="2"/>
        <v>68.333333333333329</v>
      </c>
      <c r="BL173" s="11" t="str" cm="1">
        <f t="array" ref="BL173">_xlfn.TEXTJOIN(" ", TRUE, _xlfn._xlws.FILTER(C173:BJ173, MOD(COLUMN(C173:BJ173)-COLUMN(BN173),2)=0))</f>
        <v>NO CLASS DUE TO HOLIDAY PERFORMING WELL NEED MOTIVATION,CAN IMPROVE SHOWING INTEREST NEED PRACTICE PERFORMING WELL NEED MOTIVATION,CAN IMPROVE INTERESTED IN PAINTING IN COMPUTER PERFORMING WELL NEED MORE PRACTICE AB KNOWS BASIC SKILLS LIKE DRAWING &amp;TYPING PRACTICE AT HOME ALSO</v>
      </c>
    </row>
    <row r="174" spans="1:64" ht="14.35" customHeight="1" x14ac:dyDescent="0.45">
      <c r="A174" s="29"/>
      <c r="B174" s="8" t="s">
        <v>43</v>
      </c>
      <c r="C174" s="8">
        <v>50</v>
      </c>
      <c r="D174" s="10" t="s">
        <v>99</v>
      </c>
      <c r="E174" s="8">
        <v>25</v>
      </c>
      <c r="F174" s="10" t="s">
        <v>124</v>
      </c>
      <c r="G174" s="8" t="s">
        <v>79</v>
      </c>
      <c r="H174" s="10" t="s">
        <v>79</v>
      </c>
      <c r="I174" s="8">
        <v>50</v>
      </c>
      <c r="J174" s="10" t="s">
        <v>127</v>
      </c>
      <c r="K174" s="19">
        <v>65</v>
      </c>
      <c r="L174" s="10" t="s">
        <v>166</v>
      </c>
      <c r="M174" s="10" t="s">
        <v>79</v>
      </c>
      <c r="N174" s="10" t="s">
        <v>79</v>
      </c>
      <c r="O174" s="19">
        <v>65</v>
      </c>
      <c r="P174" s="10" t="s">
        <v>296</v>
      </c>
      <c r="Q174" s="26">
        <v>80</v>
      </c>
      <c r="R174" s="10" t="s">
        <v>245</v>
      </c>
      <c r="BK174" s="8">
        <f t="shared" si="2"/>
        <v>55.833333333333336</v>
      </c>
      <c r="BL174" s="11" t="str" cm="1">
        <f t="array" ref="BL174">_xlfn.TEXTJOIN(" ", TRUE, _xlfn._xlws.FILTER(C174:BJ174, MOD(COLUMN(C174:BJ174)-COLUMN(BN174),2)=0))</f>
        <v>AVERAGE PARTICIPATION IN CLASS NO CONCENTRATION AB DOING GOOD CAN BE IMPROVE MORE INTERESTED IN FLOWER DRAWING AB NEED TO PAY ATTENTION OVERLAPPING LINES SHOWING PROGRESS IN DRAWING</v>
      </c>
    </row>
    <row r="175" spans="1:64" ht="14.35" customHeight="1" x14ac:dyDescent="0.45">
      <c r="A175" s="29"/>
      <c r="B175" s="8" t="s">
        <v>44</v>
      </c>
      <c r="C175" s="9">
        <v>50</v>
      </c>
      <c r="D175" s="14" t="s">
        <v>108</v>
      </c>
      <c r="E175" s="8">
        <v>50</v>
      </c>
      <c r="F175" s="10" t="s">
        <v>112</v>
      </c>
      <c r="G175" s="8">
        <v>50</v>
      </c>
      <c r="H175" s="10" t="s">
        <v>140</v>
      </c>
      <c r="I175" s="8">
        <v>50</v>
      </c>
      <c r="J175" s="10" t="s">
        <v>140</v>
      </c>
      <c r="K175" s="8">
        <v>75</v>
      </c>
      <c r="L175" s="10" t="s">
        <v>162</v>
      </c>
      <c r="N175" s="10" t="s">
        <v>216</v>
      </c>
      <c r="O175" s="10">
        <v>70</v>
      </c>
      <c r="P175" s="10" t="s">
        <v>256</v>
      </c>
      <c r="Q175" s="26">
        <v>80</v>
      </c>
      <c r="R175" s="10" t="s">
        <v>352</v>
      </c>
      <c r="BK175" s="8">
        <f t="shared" si="2"/>
        <v>60.714285714285715</v>
      </c>
      <c r="BL175" s="11" t="str" cm="1">
        <f t="array" ref="BL175">_xlfn.TEXTJOIN(" ", TRUE, _xlfn._xlws.FILTER(C175:BJ175, MOD(COLUMN(C175:BJ175)-COLUMN(BN175),2)=0))</f>
        <v>GOOD IN READING SHOWING INTEREST IN READING GOOD IN READING NEED TO IMPROVE READING ABILITY NEED TO IMPROVE READING ABILITY INTERESTED IN GOD BOOKS CLASS CANCELLED INTERESTED IN COMICS PREFER TO READ FAIRY TALES</v>
      </c>
    </row>
    <row r="176" spans="1:64" ht="14.35" customHeight="1" x14ac:dyDescent="0.45">
      <c r="A176" s="29"/>
      <c r="B176" s="8" t="s">
        <v>45</v>
      </c>
      <c r="E176" s="8"/>
      <c r="I176" s="8"/>
      <c r="BK176" s="8" t="str">
        <f t="shared" si="2"/>
        <v/>
      </c>
      <c r="BL176" s="11" t="str" cm="1">
        <f t="array" ref="BL176">_xlfn.TEXTJOIN(" ", TRUE, _xlfn._xlws.FILTER(C176:BJ176, MOD(COLUMN(C176:BJ176)-COLUMN(BN176),2)=0))</f>
        <v/>
      </c>
    </row>
    <row r="177" spans="1:64" ht="14.35" customHeight="1" x14ac:dyDescent="0.45">
      <c r="A177" s="29" t="s">
        <v>73</v>
      </c>
      <c r="B177" s="8" t="s">
        <v>40</v>
      </c>
      <c r="E177" s="8"/>
      <c r="I177" s="8"/>
      <c r="K177" s="8">
        <v>58</v>
      </c>
      <c r="L177" s="10" t="s">
        <v>160</v>
      </c>
      <c r="BK177" s="8">
        <f t="shared" si="2"/>
        <v>58</v>
      </c>
      <c r="BL177" s="11" t="str" cm="1">
        <f t="array" ref="BL177">_xlfn.TEXTJOIN(" ", TRUE, _xlfn._xlws.FILTER(C177:BJ177, MOD(COLUMN(C177:BJ177)-COLUMN(BN177),2)=0))</f>
        <v xml:space="preserve">INTERESTED IN ENGLISH </v>
      </c>
    </row>
    <row r="178" spans="1:64" ht="14.35" customHeight="1" x14ac:dyDescent="0.45">
      <c r="A178" s="29"/>
      <c r="B178" s="8" t="s">
        <v>41</v>
      </c>
      <c r="D178" s="10" t="s">
        <v>80</v>
      </c>
      <c r="E178" s="8">
        <v>25</v>
      </c>
      <c r="F178" s="10" t="s">
        <v>107</v>
      </c>
      <c r="G178" s="8">
        <v>50</v>
      </c>
      <c r="H178" s="10" t="s">
        <v>136</v>
      </c>
      <c r="I178" s="8">
        <v>50</v>
      </c>
      <c r="J178" s="10" t="s">
        <v>136</v>
      </c>
      <c r="K178" s="8">
        <v>75</v>
      </c>
      <c r="L178" s="10" t="s">
        <v>161</v>
      </c>
      <c r="M178" s="23">
        <v>70</v>
      </c>
      <c r="N178" s="10" t="s">
        <v>278</v>
      </c>
      <c r="Q178" s="28">
        <v>95</v>
      </c>
      <c r="R178" s="10" t="s">
        <v>350</v>
      </c>
      <c r="BK178" s="8">
        <f t="shared" si="2"/>
        <v>60.833333333333336</v>
      </c>
      <c r="BL178" s="11" t="str" cm="1">
        <f t="array" ref="BL178">_xlfn.TEXTJOIN(" ", TRUE, _xlfn._xlws.FILTER(C178:BJ178, MOD(COLUMN(C178:BJ178)-COLUMN(BN178),2)=0))</f>
        <v xml:space="preserve">NO CLASS DUE TO HOLIDAY PLAYING WITHOUT ANY AIM PLAYING WELL IN SHUTTLE PLAYING WELL IN SHUTTLE INTERESTED IN KHO-KHO PERFORMING WELL IN KHO KHO INTERESTED </v>
      </c>
    </row>
    <row r="179" spans="1:64" ht="14.35" customHeight="1" x14ac:dyDescent="0.45">
      <c r="A179" s="29"/>
      <c r="B179" s="8" t="s">
        <v>42</v>
      </c>
      <c r="D179" s="10" t="s">
        <v>80</v>
      </c>
      <c r="E179" s="8">
        <v>50</v>
      </c>
      <c r="F179" s="10" t="s">
        <v>88</v>
      </c>
      <c r="G179" s="8">
        <v>75</v>
      </c>
      <c r="H179" s="10" t="s">
        <v>137</v>
      </c>
      <c r="I179" s="19">
        <v>65</v>
      </c>
      <c r="J179" s="10" t="s">
        <v>88</v>
      </c>
      <c r="K179" s="19">
        <v>65</v>
      </c>
      <c r="L179" s="10" t="s">
        <v>153</v>
      </c>
      <c r="M179" s="19">
        <v>65</v>
      </c>
      <c r="N179" s="10" t="s">
        <v>276</v>
      </c>
      <c r="Q179" s="26">
        <v>80</v>
      </c>
      <c r="R179" s="10" t="s">
        <v>334</v>
      </c>
      <c r="BK179" s="8">
        <f t="shared" si="2"/>
        <v>66.666666666666671</v>
      </c>
      <c r="BL179" s="11" t="str" cm="1">
        <f t="array" ref="BL179">_xlfn.TEXTJOIN(" ", TRUE, _xlfn._xlws.FILTER(C179:BJ179, MOD(COLUMN(C179:BJ179)-COLUMN(BN179),2)=0))</f>
        <v>NO CLASS DUE TO HOLIDAY PERFORMING WELL NEED MOTIVATION,CAN IMPROVE SHOWING INTEREST NEED PRACTICE PERFORMING WELL NEED MOTIVATION,CAN IMPROVE INTERESTED IN TYPING PERFORMING WELL NEED MORE PRACTICE KNOWS BASIC SKILLS LIKE DRAWING &amp;TYPING PRACTICE AT HOME ALSO</v>
      </c>
    </row>
    <row r="180" spans="1:64" ht="14.35" customHeight="1" x14ac:dyDescent="0.45">
      <c r="A180" s="29"/>
      <c r="B180" s="8" t="s">
        <v>43</v>
      </c>
      <c r="C180" s="8">
        <v>50</v>
      </c>
      <c r="D180" s="10" t="s">
        <v>106</v>
      </c>
      <c r="E180" s="8">
        <v>50</v>
      </c>
      <c r="F180" s="10" t="s">
        <v>94</v>
      </c>
      <c r="G180" s="16">
        <v>65</v>
      </c>
      <c r="H180" s="10" t="s">
        <v>94</v>
      </c>
      <c r="I180" s="8" t="s">
        <v>79</v>
      </c>
      <c r="J180" s="10" t="s">
        <v>131</v>
      </c>
      <c r="K180" s="8">
        <v>75</v>
      </c>
      <c r="L180" s="10" t="s">
        <v>163</v>
      </c>
      <c r="M180" s="10">
        <v>70</v>
      </c>
      <c r="N180" s="10" t="s">
        <v>250</v>
      </c>
      <c r="Q180" s="26">
        <v>80</v>
      </c>
      <c r="R180" s="10" t="s">
        <v>245</v>
      </c>
      <c r="BK180" s="8">
        <f t="shared" si="2"/>
        <v>65</v>
      </c>
      <c r="BL180" s="11" t="str" cm="1">
        <f t="array" ref="BL180">_xlfn.TEXTJOIN(" ", TRUE, _xlfn._xlws.FILTER(C180:BJ180, MOD(COLUMN(C180:BJ180)-COLUMN(BN180),2)=0))</f>
        <v>GOOD IN DRAWING  NEED TO FOCUS ON VISUALS LIKE SHAPE NEED TO FOCUS ON VISUALS LIKE SHAPE ABSENT INTERESTED IN PAINTINGS, DRAWING CHARTOON PICTURE SIMPLIFYING THE FIGURE SHOWING PROGRESS IN DRAWING</v>
      </c>
    </row>
    <row r="181" spans="1:64" ht="14.35" customHeight="1" x14ac:dyDescent="0.45">
      <c r="A181" s="29"/>
      <c r="B181" s="8" t="s">
        <v>44</v>
      </c>
      <c r="C181" s="9">
        <v>50</v>
      </c>
      <c r="D181" s="14" t="s">
        <v>108</v>
      </c>
      <c r="E181" s="8">
        <v>50</v>
      </c>
      <c r="F181" s="10" t="s">
        <v>112</v>
      </c>
      <c r="G181" s="8">
        <v>50</v>
      </c>
      <c r="H181" s="10" t="s">
        <v>140</v>
      </c>
      <c r="I181" s="8">
        <v>50</v>
      </c>
      <c r="J181" s="10" t="s">
        <v>151</v>
      </c>
      <c r="K181" s="8">
        <v>75</v>
      </c>
      <c r="L181" s="10" t="s">
        <v>162</v>
      </c>
      <c r="N181" s="10" t="s">
        <v>216</v>
      </c>
      <c r="O181" s="8">
        <v>75</v>
      </c>
      <c r="P181" s="10" t="s">
        <v>285</v>
      </c>
      <c r="Q181" s="26">
        <v>80</v>
      </c>
      <c r="R181" s="10" t="s">
        <v>317</v>
      </c>
      <c r="BK181" s="8">
        <f t="shared" si="2"/>
        <v>61.428571428571431</v>
      </c>
      <c r="BL181" s="11" t="str" cm="1">
        <f t="array" ref="BL181">_xlfn.TEXTJOIN(" ", TRUE, _xlfn._xlws.FILTER(C181:BJ181, MOD(COLUMN(C181:BJ181)-COLUMN(BN181),2)=0))</f>
        <v>GOOD IN READING SHOWING INTEREST IN READING GOOD IN READING NEED TO IMPROVE READING ABILITY GOOD IN READ INTERESTED IN GOD BOOKS CLASS CANCELLED THE FIGURE HAS A GOOD SHAPE VERY BALANCED PREFER TO READ MORAL STORIES</v>
      </c>
    </row>
    <row r="182" spans="1:64" ht="14.35" customHeight="1" x14ac:dyDescent="0.45">
      <c r="A182" s="29"/>
      <c r="B182" s="8" t="s">
        <v>45</v>
      </c>
      <c r="E182" s="8"/>
      <c r="I182" s="8"/>
      <c r="O182" s="10">
        <v>70</v>
      </c>
      <c r="P182" s="10" t="s">
        <v>231</v>
      </c>
      <c r="BK182" s="8">
        <f t="shared" si="2"/>
        <v>70</v>
      </c>
      <c r="BL182" s="11" t="str" cm="1">
        <f t="array" ref="BL182">_xlfn.TEXTJOIN(" ", TRUE, _xlfn._xlws.FILTER(C182:BJ182, MOD(COLUMN(C182:BJ182)-COLUMN(BN182),2)=0))</f>
        <v>INTRESTED IN READING BOOKS</v>
      </c>
    </row>
    <row r="183" spans="1:64" ht="14.35" customHeight="1" x14ac:dyDescent="0.45">
      <c r="A183" s="29" t="s">
        <v>74</v>
      </c>
      <c r="B183" s="8" t="s">
        <v>40</v>
      </c>
      <c r="E183" s="8"/>
      <c r="I183" s="8"/>
      <c r="K183" s="19">
        <v>57</v>
      </c>
      <c r="L183" s="10" t="s">
        <v>211</v>
      </c>
      <c r="BK183" s="8">
        <f t="shared" si="2"/>
        <v>57</v>
      </c>
      <c r="BL183" s="11" t="str" cm="1">
        <f t="array" ref="BL183">_xlfn.TEXTJOIN(" ", TRUE, _xlfn._xlws.FILTER(C183:BJ183, MOD(COLUMN(C183:BJ183)-COLUMN(BN183),2)=0))</f>
        <v>INTERETSED IN URUDU</v>
      </c>
    </row>
    <row r="184" spans="1:64" ht="14.35" customHeight="1" x14ac:dyDescent="0.45">
      <c r="A184" s="29"/>
      <c r="B184" s="8" t="s">
        <v>41</v>
      </c>
      <c r="D184" s="10" t="s">
        <v>80</v>
      </c>
      <c r="E184" s="8">
        <v>25</v>
      </c>
      <c r="F184" s="10" t="s">
        <v>107</v>
      </c>
      <c r="G184" s="8">
        <v>50</v>
      </c>
      <c r="H184" s="10" t="s">
        <v>136</v>
      </c>
      <c r="I184" s="8">
        <v>50</v>
      </c>
      <c r="J184" s="10" t="s">
        <v>136</v>
      </c>
      <c r="K184" s="8">
        <v>75</v>
      </c>
      <c r="L184" s="10" t="s">
        <v>159</v>
      </c>
      <c r="M184" s="23">
        <v>70</v>
      </c>
      <c r="N184" s="10" t="s">
        <v>278</v>
      </c>
      <c r="Q184" s="27">
        <v>90</v>
      </c>
      <c r="R184" s="10" t="s">
        <v>349</v>
      </c>
      <c r="BK184" s="8">
        <f t="shared" si="2"/>
        <v>60</v>
      </c>
      <c r="BL184" s="11" t="str" cm="1">
        <f t="array" ref="BL184">_xlfn.TEXTJOIN(" ", TRUE, _xlfn._xlws.FILTER(C184:BJ184, MOD(COLUMN(C184:BJ184)-COLUMN(BN184),2)=0))</f>
        <v>NO CLASS DUE TO HOLIDAY PLAYING WITHOUT ANY AIM PLAYING WELL IN SHUTTLE PLAYING WELL IN SHUTTLE INTERESTED IN TENNIES PERFORMING WELL IN KHO KHO INTERESTED IN KHABADI AND PARTICIPATED IN 100MTS RUNNING RACE</v>
      </c>
    </row>
    <row r="185" spans="1:64" ht="14.35" customHeight="1" x14ac:dyDescent="0.45">
      <c r="A185" s="29"/>
      <c r="B185" s="8" t="s">
        <v>42</v>
      </c>
      <c r="D185" s="10" t="s">
        <v>80</v>
      </c>
      <c r="E185" s="8">
        <v>50</v>
      </c>
      <c r="F185" s="10" t="s">
        <v>88</v>
      </c>
      <c r="G185" s="8">
        <v>75</v>
      </c>
      <c r="H185" s="10" t="s">
        <v>137</v>
      </c>
      <c r="I185" s="19">
        <v>65</v>
      </c>
      <c r="J185" s="10" t="s">
        <v>88</v>
      </c>
      <c r="K185" s="8">
        <v>75</v>
      </c>
      <c r="L185" s="10" t="s">
        <v>212</v>
      </c>
      <c r="M185" s="19">
        <v>65</v>
      </c>
      <c r="N185" s="10" t="s">
        <v>276</v>
      </c>
      <c r="Q185" s="26">
        <v>80</v>
      </c>
      <c r="R185" s="10" t="s">
        <v>307</v>
      </c>
      <c r="BK185" s="8">
        <f t="shared" si="2"/>
        <v>68.333333333333329</v>
      </c>
      <c r="BL185" s="11" t="str" cm="1">
        <f t="array" ref="BL185">_xlfn.TEXTJOIN(" ", TRUE, _xlfn._xlws.FILTER(C185:BJ185, MOD(COLUMN(C185:BJ185)-COLUMN(BN185),2)=0))</f>
        <v>NO CLASS DUE TO HOLIDAY PERFORMING WELL NEED MOTIVATION,CAN IMPROVE SHOWING INTEREST NEED PRACTICE PERFORMING WELL NEED MOTIVATION,CAN IMPROVE INTERESTED IN PAINTING ,TYPING IN COMPUTER PERFORMING WELL NEED MORE PRACTICE BASIC SKILLS LIKE DRAWING&amp;TYPING</v>
      </c>
    </row>
    <row r="186" spans="1:64" ht="14.35" customHeight="1" x14ac:dyDescent="0.45">
      <c r="A186" s="29"/>
      <c r="B186" s="8" t="s">
        <v>43</v>
      </c>
      <c r="C186" s="8">
        <v>50</v>
      </c>
      <c r="D186" s="10" t="s">
        <v>98</v>
      </c>
      <c r="E186" s="8">
        <v>50</v>
      </c>
      <c r="F186" s="10" t="s">
        <v>93</v>
      </c>
      <c r="G186" s="16">
        <v>65</v>
      </c>
      <c r="H186" s="10" t="s">
        <v>93</v>
      </c>
      <c r="I186" s="8">
        <v>25</v>
      </c>
      <c r="J186" s="10" t="s">
        <v>125</v>
      </c>
      <c r="K186" s="8">
        <v>75</v>
      </c>
      <c r="L186" s="10" t="s">
        <v>213</v>
      </c>
      <c r="M186" s="10">
        <v>70</v>
      </c>
      <c r="N186" s="10" t="s">
        <v>251</v>
      </c>
      <c r="O186" s="8">
        <v>75</v>
      </c>
      <c r="P186" s="10" t="s">
        <v>284</v>
      </c>
      <c r="Q186" s="26">
        <v>80</v>
      </c>
      <c r="R186" s="10" t="s">
        <v>295</v>
      </c>
      <c r="BK186" s="8">
        <f t="shared" si="2"/>
        <v>61.25</v>
      </c>
      <c r="BL186" s="11" t="str" cm="1">
        <f t="array" ref="BL186">_xlfn.TEXTJOIN(" ", TRUE, _xlfn._xlws.FILTER(C186:BJ186, MOD(COLUMN(C186:BJ186)-COLUMN(BN186),2)=0))</f>
        <v>NEED TO PRACTICE MORE NEED TO REFINE THE FIGURE NEED TO REFINE THE FIGURE NEUTRAL PERFORMANCE INTERESTED IN ANIMAL PICTURES NEED TO REDUCE THE PRESSURE OF THE PENCIL NICE TAPERED SIDES GOOD OVAL BASE SHOWING WILLINGNESS IN DRAWING</v>
      </c>
    </row>
    <row r="187" spans="1:64" ht="14.35" customHeight="1" x14ac:dyDescent="0.45">
      <c r="A187" s="29"/>
      <c r="B187" s="8" t="s">
        <v>44</v>
      </c>
      <c r="C187" s="9">
        <v>50</v>
      </c>
      <c r="D187" s="14" t="s">
        <v>108</v>
      </c>
      <c r="E187" s="8">
        <v>50</v>
      </c>
      <c r="F187" s="10" t="s">
        <v>112</v>
      </c>
      <c r="G187" s="8">
        <v>50</v>
      </c>
      <c r="H187" s="10" t="s">
        <v>108</v>
      </c>
      <c r="I187" s="8">
        <v>50</v>
      </c>
      <c r="J187" s="10" t="s">
        <v>140</v>
      </c>
      <c r="K187" s="8">
        <v>75</v>
      </c>
      <c r="L187" s="10" t="s">
        <v>162</v>
      </c>
      <c r="N187" s="10" t="s">
        <v>216</v>
      </c>
      <c r="O187" s="10">
        <v>85</v>
      </c>
      <c r="P187" s="10" t="s">
        <v>259</v>
      </c>
      <c r="Q187" s="27">
        <v>90</v>
      </c>
      <c r="R187" s="10" t="s">
        <v>305</v>
      </c>
      <c r="BK187" s="8">
        <f t="shared" si="2"/>
        <v>64.285714285714292</v>
      </c>
      <c r="BL187" s="11" t="str" cm="1">
        <f t="array" ref="BL187">_xlfn.TEXTJOIN(" ", TRUE, _xlfn._xlws.FILTER(C187:BJ187, MOD(COLUMN(C187:BJ187)-COLUMN(BN187),2)=0))</f>
        <v xml:space="preserve">GOOD IN READING SHOWING INTEREST IN READING GOOD IN READING GOOD IN READING SHOWING INTEREST IN READING NEED TO IMPROVE READING ABILITY INTERESTED IN GOD BOOKS CLASS CANCELLED INTRESTED IN READING BOOKS, CHOOSY IN SELECTION PREFER FAIRY TALES TO READ HAVING LIBRARY MEMBERSHIP READS DAILY EVENING BOOKS </v>
      </c>
    </row>
    <row r="188" spans="1:64" ht="14.35" customHeight="1" x14ac:dyDescent="0.45">
      <c r="A188" s="29"/>
      <c r="B188" s="8" t="s">
        <v>45</v>
      </c>
      <c r="E188" s="8"/>
      <c r="I188" s="8"/>
      <c r="BK188" s="8" t="str">
        <f t="shared" si="2"/>
        <v/>
      </c>
      <c r="BL188" s="11" t="str" cm="1">
        <f t="array" ref="BL188">_xlfn.TEXTJOIN(" ", TRUE, _xlfn._xlws.FILTER(C188:BJ188, MOD(COLUMN(C188:BJ188)-COLUMN(BN188),2)=0))</f>
        <v/>
      </c>
    </row>
    <row r="189" spans="1:64" ht="14.35" customHeight="1" x14ac:dyDescent="0.45">
      <c r="A189" s="29" t="s">
        <v>75</v>
      </c>
      <c r="B189" s="8" t="s">
        <v>40</v>
      </c>
      <c r="E189" s="8"/>
      <c r="I189" s="8"/>
      <c r="K189" s="8">
        <v>43</v>
      </c>
      <c r="L189" s="10" t="s">
        <v>219</v>
      </c>
      <c r="BK189" s="8">
        <f t="shared" si="2"/>
        <v>43</v>
      </c>
      <c r="BL189" s="11" t="str" cm="1">
        <f t="array" ref="BL189">_xlfn.TEXTJOIN(" ", TRUE, _xlfn._xlws.FILTER(C189:BJ189, MOD(COLUMN(C189:BJ189)-COLUMN(BN189),2)=0))</f>
        <v>GOOD IN URDU&amp; MATHAMATICS</v>
      </c>
    </row>
    <row r="190" spans="1:64" ht="14.35" customHeight="1" x14ac:dyDescent="0.45">
      <c r="A190" s="29"/>
      <c r="B190" s="8" t="s">
        <v>41</v>
      </c>
      <c r="D190" s="10" t="s">
        <v>80</v>
      </c>
      <c r="E190" s="8">
        <v>25</v>
      </c>
      <c r="F190" s="10" t="s">
        <v>107</v>
      </c>
      <c r="G190" s="8">
        <v>50</v>
      </c>
      <c r="H190" s="10" t="s">
        <v>136</v>
      </c>
      <c r="I190" s="8">
        <v>50</v>
      </c>
      <c r="J190" s="10" t="s">
        <v>136</v>
      </c>
      <c r="K190" s="8">
        <v>75</v>
      </c>
      <c r="L190" s="10" t="s">
        <v>152</v>
      </c>
      <c r="M190" s="23">
        <v>70</v>
      </c>
      <c r="N190" s="10" t="s">
        <v>278</v>
      </c>
      <c r="Q190" s="28">
        <v>95</v>
      </c>
      <c r="R190" s="10" t="s">
        <v>351</v>
      </c>
      <c r="BK190" s="8">
        <f t="shared" si="2"/>
        <v>60.833333333333336</v>
      </c>
      <c r="BL190" s="11" t="str" cm="1">
        <f t="array" ref="BL190">_xlfn.TEXTJOIN(" ", TRUE, _xlfn._xlws.FILTER(C190:BJ190, MOD(COLUMN(C190:BJ190)-COLUMN(BN190),2)=0))</f>
        <v>NO CLASS DUE TO HOLIDAY PLAYING WITHOUT ANY AIM PLAYING WELL IN SHUTTLE PLAYING WELL IN SHUTTLE INTERSTED IN FOOD BALL PERFORMING WELL IN KHO KHO INTERESTED IN KHABADI ,THROWBALL AND PARTICIPATED IN 100MTS RUNNING RACE</v>
      </c>
    </row>
    <row r="191" spans="1:64" ht="14.35" customHeight="1" x14ac:dyDescent="0.45">
      <c r="A191" s="29"/>
      <c r="B191" s="8" t="s">
        <v>42</v>
      </c>
      <c r="D191" s="10" t="s">
        <v>80</v>
      </c>
      <c r="E191" s="8">
        <v>50</v>
      </c>
      <c r="F191" s="10" t="s">
        <v>88</v>
      </c>
      <c r="G191" s="8">
        <v>75</v>
      </c>
      <c r="H191" s="10" t="s">
        <v>137</v>
      </c>
      <c r="I191" s="19">
        <v>65</v>
      </c>
      <c r="J191" s="10" t="s">
        <v>88</v>
      </c>
      <c r="K191" s="19">
        <v>65</v>
      </c>
      <c r="L191" s="10" t="s">
        <v>153</v>
      </c>
      <c r="M191" s="19">
        <v>65</v>
      </c>
      <c r="N191" s="10" t="s">
        <v>276</v>
      </c>
      <c r="Q191" s="26">
        <v>80</v>
      </c>
      <c r="R191" s="10" t="s">
        <v>334</v>
      </c>
      <c r="BK191" s="8">
        <f t="shared" si="2"/>
        <v>66.666666666666671</v>
      </c>
      <c r="BL191" s="11" t="str" cm="1">
        <f t="array" ref="BL191">_xlfn.TEXTJOIN(" ", TRUE, _xlfn._xlws.FILTER(C191:BJ191, MOD(COLUMN(C191:BJ191)-COLUMN(BN191),2)=0))</f>
        <v>NO CLASS DUE TO HOLIDAY PERFORMING WELL NEED MOTIVATION,CAN IMPROVE SHOWING INTEREST NEED PRACTICE PERFORMING WELL NEED MOTIVATION,CAN IMPROVE INTERESTED IN TYPING PERFORMING WELL NEED MORE PRACTICE KNOWS BASIC SKILLS LIKE DRAWING &amp;TYPING PRACTICE AT HOME ALSO</v>
      </c>
    </row>
    <row r="192" spans="1:64" ht="14.35" customHeight="1" x14ac:dyDescent="0.45">
      <c r="A192" s="29"/>
      <c r="B192" s="8" t="s">
        <v>43</v>
      </c>
      <c r="C192" s="8" t="s">
        <v>79</v>
      </c>
      <c r="D192" s="10" t="s">
        <v>79</v>
      </c>
      <c r="E192" s="8">
        <v>50</v>
      </c>
      <c r="F192" s="10" t="s">
        <v>95</v>
      </c>
      <c r="G192" s="16">
        <v>65</v>
      </c>
      <c r="H192" s="10" t="s">
        <v>95</v>
      </c>
      <c r="I192" s="8">
        <v>25</v>
      </c>
      <c r="J192" s="10" t="s">
        <v>125</v>
      </c>
      <c r="K192" s="8"/>
      <c r="M192" s="10">
        <v>70</v>
      </c>
      <c r="N192" s="10" t="s">
        <v>252</v>
      </c>
      <c r="O192" s="19">
        <v>65</v>
      </c>
      <c r="P192" s="10" t="s">
        <v>295</v>
      </c>
      <c r="Q192" s="26">
        <v>80</v>
      </c>
      <c r="R192" s="10" t="s">
        <v>245</v>
      </c>
      <c r="BK192" s="8">
        <f t="shared" si="2"/>
        <v>59.166666666666664</v>
      </c>
      <c r="BL192" s="11" t="str" cm="1">
        <f t="array" ref="BL192">_xlfn.TEXTJOIN(" ", TRUE, _xlfn._xlws.FILTER(C192:BJ192, MOD(COLUMN(C192:BJ192)-COLUMN(BN192),2)=0))</f>
        <v>AB NEED TO PRACTICE CAN IMPROVE NEED TO PRACTICE CAN IMPROVE NEUTRAL PERFORMANCE NEED TO CORRECT THE OVERLAPPING THE LINES SHOWING WILLINGNESS IN DRAWING SHOWING PROGRESS IN DRAWING</v>
      </c>
    </row>
    <row r="193" spans="1:64" ht="14.35" customHeight="1" x14ac:dyDescent="0.45">
      <c r="A193" s="29"/>
      <c r="B193" s="8" t="s">
        <v>44</v>
      </c>
      <c r="C193" s="9">
        <v>50</v>
      </c>
      <c r="D193" s="14" t="s">
        <v>108</v>
      </c>
      <c r="E193" s="8">
        <v>50</v>
      </c>
      <c r="F193" s="10" t="s">
        <v>112</v>
      </c>
      <c r="G193" s="8">
        <v>50</v>
      </c>
      <c r="H193" s="10" t="s">
        <v>89</v>
      </c>
      <c r="I193" s="8">
        <v>50</v>
      </c>
      <c r="J193" s="10" t="s">
        <v>140</v>
      </c>
      <c r="K193" s="19">
        <v>65</v>
      </c>
      <c r="L193" s="10" t="s">
        <v>154</v>
      </c>
      <c r="N193" s="10" t="s">
        <v>216</v>
      </c>
      <c r="O193" s="10">
        <v>65</v>
      </c>
      <c r="P193" s="10" t="s">
        <v>255</v>
      </c>
      <c r="Q193" s="26">
        <v>80</v>
      </c>
      <c r="R193" s="10" t="s">
        <v>337</v>
      </c>
      <c r="BK193" s="8">
        <f t="shared" si="2"/>
        <v>58.571428571428569</v>
      </c>
      <c r="BL193" s="11" t="str" cm="1">
        <f t="array" ref="BL193">_xlfn.TEXTJOIN(" ", TRUE, _xlfn._xlws.FILTER(C193:BJ193, MOD(COLUMN(C193:BJ193)-COLUMN(BN193),2)=0))</f>
        <v>GOOD IN READING SHOWING INTEREST IN READING GOOD IN READING AVERAGE PARTICIPATION NEED TO IMPROVE READING ABILITY INTERESTED IN STORY BOOKS CLASS CANCELLED INTRESTED IN STORY BOOKS PREFER TO READ KAKOLUKIYAM [PANCHATANTRA ]</v>
      </c>
    </row>
    <row r="194" spans="1:64" ht="14.35" customHeight="1" x14ac:dyDescent="0.45">
      <c r="A194" s="29"/>
      <c r="B194" s="8" t="s">
        <v>45</v>
      </c>
      <c r="E194" s="8"/>
      <c r="I194" s="8"/>
      <c r="BK194" s="8" t="str">
        <f t="shared" si="2"/>
        <v/>
      </c>
      <c r="BL194" s="11" t="str" cm="1">
        <f t="array" ref="BL194">_xlfn.TEXTJOIN(" ", TRUE, _xlfn._xlws.FILTER(C194:BJ194, MOD(COLUMN(C194:BJ194)-COLUMN(BN194),2)=0))</f>
        <v/>
      </c>
    </row>
    <row r="195" spans="1:64" ht="14.35" customHeight="1" x14ac:dyDescent="0.45">
      <c r="A195" s="29" t="s">
        <v>77</v>
      </c>
      <c r="B195" s="8" t="s">
        <v>40</v>
      </c>
      <c r="E195" s="8"/>
      <c r="I195" s="8"/>
      <c r="K195" s="8">
        <v>71</v>
      </c>
      <c r="L195" s="10" t="s">
        <v>228</v>
      </c>
      <c r="BK195" s="8">
        <f t="shared" ref="BK195:BK219" si="3">IFERROR(AVERAGEIF(C195:BI195,"&lt;&gt;nill"), "")</f>
        <v>71</v>
      </c>
      <c r="BL195" s="11" t="str" cm="1">
        <f t="array" ref="BL195">_xlfn.TEXTJOIN(" ", TRUE, _xlfn._xlws.FILTER(C195:BJ195, MOD(COLUMN(C195:BJ195)-COLUMN(BN195),2)=0))</f>
        <v>GOOD IN ENGLISH ,SCIENCE&amp;MATHAMATICS</v>
      </c>
    </row>
    <row r="196" spans="1:64" ht="14.35" customHeight="1" x14ac:dyDescent="0.45">
      <c r="A196" s="29"/>
      <c r="B196" s="8" t="s">
        <v>41</v>
      </c>
      <c r="D196" s="10" t="s">
        <v>80</v>
      </c>
      <c r="E196" s="8">
        <v>25</v>
      </c>
      <c r="F196" s="10" t="s">
        <v>107</v>
      </c>
      <c r="G196" s="8">
        <v>50</v>
      </c>
      <c r="H196" s="10" t="s">
        <v>136</v>
      </c>
      <c r="I196" s="8">
        <v>50</v>
      </c>
      <c r="J196" s="10" t="s">
        <v>136</v>
      </c>
      <c r="K196" s="8">
        <v>75</v>
      </c>
      <c r="L196" s="10" t="s">
        <v>179</v>
      </c>
      <c r="M196" s="19">
        <v>65</v>
      </c>
      <c r="N196" s="10" t="s">
        <v>277</v>
      </c>
      <c r="Q196" s="27">
        <v>90</v>
      </c>
      <c r="R196" s="10" t="s">
        <v>340</v>
      </c>
      <c r="BK196" s="8">
        <f t="shared" si="3"/>
        <v>59.166666666666664</v>
      </c>
      <c r="BL196" s="11" t="str" cm="1">
        <f t="array" ref="BL196">_xlfn.TEXTJOIN(" ", TRUE, _xlfn._xlws.FILTER(C196:BJ196, MOD(COLUMN(C196:BJ196)-COLUMN(BN196),2)=0))</f>
        <v>NO CLASS DUE TO HOLIDAY PLAYING WITHOUT ANY AIM PLAYING WELL IN SHUTTLE PLAYING WELL IN SHUTTLE INTERESTED IN CRICKET PLAYING WELL SHORT CRICKET INTERESTED IN FOOTBALL,VOLLEYBALL&amp;CRICKET BATTING</v>
      </c>
    </row>
    <row r="197" spans="1:64" ht="14.35" customHeight="1" x14ac:dyDescent="0.45">
      <c r="A197" s="29"/>
      <c r="B197" s="8" t="s">
        <v>42</v>
      </c>
      <c r="D197" s="10" t="s">
        <v>80</v>
      </c>
      <c r="E197" s="8">
        <v>50</v>
      </c>
      <c r="F197" s="10" t="s">
        <v>88</v>
      </c>
      <c r="G197" s="8">
        <v>75</v>
      </c>
      <c r="H197" s="10" t="s">
        <v>137</v>
      </c>
      <c r="I197" s="19">
        <v>65</v>
      </c>
      <c r="J197" s="10" t="s">
        <v>88</v>
      </c>
      <c r="K197" s="8"/>
      <c r="M197" s="19">
        <v>65</v>
      </c>
      <c r="N197" s="10" t="s">
        <v>276</v>
      </c>
      <c r="Q197" s="26">
        <v>80</v>
      </c>
      <c r="R197" s="10" t="s">
        <v>307</v>
      </c>
      <c r="BK197" s="8">
        <f t="shared" si="3"/>
        <v>67</v>
      </c>
      <c r="BL197" s="11" t="str" cm="1">
        <f t="array" ref="BL197">_xlfn.TEXTJOIN(" ", TRUE, _xlfn._xlws.FILTER(C197:BJ197, MOD(COLUMN(C197:BJ197)-COLUMN(BN197),2)=0))</f>
        <v>NO CLASS DUE TO HOLIDAY PERFORMING WELL NEED MOTIVATION,CAN IMPROVE SHOWING INTEREST NEED PRACTICE PERFORMING WELL NEED MOTIVATION,CAN IMPROVE PERFORMING WELL NEED MORE PRACTICE BASIC SKILLS LIKE DRAWING&amp;TYPING</v>
      </c>
    </row>
    <row r="198" spans="1:64" ht="14.35" customHeight="1" x14ac:dyDescent="0.45">
      <c r="A198" s="29"/>
      <c r="B198" s="8" t="s">
        <v>43</v>
      </c>
      <c r="C198" s="8" t="s">
        <v>79</v>
      </c>
      <c r="D198" s="10" t="s">
        <v>79</v>
      </c>
      <c r="E198" s="8">
        <v>50</v>
      </c>
      <c r="F198" s="10" t="s">
        <v>84</v>
      </c>
      <c r="G198" s="17">
        <v>75</v>
      </c>
      <c r="H198" s="10" t="s">
        <v>84</v>
      </c>
      <c r="I198" s="8" t="s">
        <v>79</v>
      </c>
      <c r="J198" s="10" t="s">
        <v>131</v>
      </c>
      <c r="K198" s="8"/>
      <c r="M198" s="10">
        <v>65</v>
      </c>
      <c r="N198" s="10" t="s">
        <v>253</v>
      </c>
      <c r="O198" s="8">
        <v>75</v>
      </c>
      <c r="P198" s="10" t="s">
        <v>286</v>
      </c>
      <c r="Q198" s="26">
        <v>80</v>
      </c>
      <c r="R198" s="10" t="s">
        <v>295</v>
      </c>
      <c r="BK198" s="8">
        <f t="shared" si="3"/>
        <v>69</v>
      </c>
      <c r="BL198" s="11" t="str" cm="1">
        <f t="array" ref="BL198">_xlfn.TEXTJOIN(" ", TRUE, _xlfn._xlws.FILTER(C198:BJ198, MOD(COLUMN(C198:BJ198)-COLUMN(BN198),2)=0))</f>
        <v>AB GOOD IN USING LINES TO CREATE SHAPE GOOD IN USING LINES TO CREATE SHAPE ABSENT NEED TO CORRECT THE CURVES AND FINISHING  ADDING A CENTER LINE TO KEEP THE TOP &amp;BOTTOM ALIGNED FOR SYMMETRY SHOWING WILLINGNESS IN DRAWING</v>
      </c>
    </row>
    <row r="199" spans="1:64" ht="14.35" customHeight="1" x14ac:dyDescent="0.45">
      <c r="A199" s="29"/>
      <c r="B199" s="8" t="s">
        <v>44</v>
      </c>
      <c r="C199" s="9">
        <v>50</v>
      </c>
      <c r="D199" s="14" t="s">
        <v>108</v>
      </c>
      <c r="E199" s="8">
        <v>50</v>
      </c>
      <c r="F199" s="10" t="s">
        <v>112</v>
      </c>
      <c r="G199" s="8">
        <v>50</v>
      </c>
      <c r="H199" s="10" t="s">
        <v>108</v>
      </c>
      <c r="I199" s="8">
        <v>50</v>
      </c>
      <c r="J199" s="10" t="s">
        <v>140</v>
      </c>
      <c r="K199" s="8">
        <v>75</v>
      </c>
      <c r="L199" s="10" t="s">
        <v>196</v>
      </c>
      <c r="N199" s="10" t="s">
        <v>216</v>
      </c>
      <c r="O199" s="10">
        <v>80</v>
      </c>
      <c r="P199" s="10" t="s">
        <v>254</v>
      </c>
      <c r="Q199" s="26">
        <v>80</v>
      </c>
      <c r="R199" s="10" t="s">
        <v>321</v>
      </c>
      <c r="BK199" s="8">
        <f t="shared" si="3"/>
        <v>62.142857142857146</v>
      </c>
      <c r="BL199" s="11" t="str" cm="1">
        <f t="array" ref="BL199">_xlfn.TEXTJOIN(" ", TRUE, _xlfn._xlws.FILTER(C199:BJ199, MOD(COLUMN(C199:BJ199)-COLUMN(BN199),2)=0))</f>
        <v>GOOD IN READING SHOWING INTEREST IN READING GOOD IN READING GOOD IN READING SHOWING INTEREST IN READING NEED TO IMPROVE READING ABILITY INTERESTED READING NEWS PAPER CLASS CANCELLED INTERESTED IN READING BOOKS PREFER ALL KIND OF BOOKS TO READ</v>
      </c>
    </row>
    <row r="200" spans="1:64" ht="14.35" customHeight="1" x14ac:dyDescent="0.45">
      <c r="A200" s="29"/>
      <c r="B200" s="8" t="s">
        <v>45</v>
      </c>
      <c r="E200" s="8"/>
      <c r="I200" s="8"/>
      <c r="BK200" s="8" t="str">
        <f t="shared" si="3"/>
        <v/>
      </c>
      <c r="BL200" s="11" t="str" cm="1">
        <f t="array" ref="BL200">_xlfn.TEXTJOIN(" ", TRUE, _xlfn._xlws.FILTER(C200:BJ200, MOD(COLUMN(C200:BJ200)-COLUMN(BN200),2)=0))</f>
        <v/>
      </c>
    </row>
    <row r="201" spans="1:64" ht="14.35" customHeight="1" x14ac:dyDescent="0.45">
      <c r="A201" s="29" t="s">
        <v>78</v>
      </c>
      <c r="B201" s="8" t="s">
        <v>40</v>
      </c>
      <c r="E201" s="8"/>
      <c r="I201" s="8"/>
      <c r="BK201" s="8" t="str">
        <f t="shared" si="3"/>
        <v/>
      </c>
      <c r="BL201" s="11" t="str" cm="1">
        <f t="array" ref="BL201">_xlfn.TEXTJOIN(" ", TRUE, _xlfn._xlws.FILTER(C201:BJ201, MOD(COLUMN(C201:BJ201)-COLUMN(BN201),2)=0))</f>
        <v/>
      </c>
    </row>
    <row r="202" spans="1:64" ht="14.35" customHeight="1" x14ac:dyDescent="0.45">
      <c r="A202" s="29"/>
      <c r="B202" s="8" t="s">
        <v>41</v>
      </c>
      <c r="D202" s="10" t="s">
        <v>80</v>
      </c>
      <c r="E202" s="8"/>
      <c r="I202" s="8"/>
      <c r="BK202" s="8" t="str">
        <f t="shared" si="3"/>
        <v/>
      </c>
      <c r="BL202" s="11" t="str" cm="1">
        <f t="array" ref="BL202">_xlfn.TEXTJOIN(" ", TRUE, _xlfn._xlws.FILTER(C202:BJ202, MOD(COLUMN(C202:BJ202)-COLUMN(BN202),2)=0))</f>
        <v>NO CLASS DUE TO HOLIDAY</v>
      </c>
    </row>
    <row r="203" spans="1:64" ht="14.35" customHeight="1" x14ac:dyDescent="0.45">
      <c r="A203" s="29"/>
      <c r="B203" s="8" t="s">
        <v>42</v>
      </c>
      <c r="D203" s="10" t="s">
        <v>80</v>
      </c>
      <c r="E203" s="8"/>
      <c r="I203" s="8"/>
      <c r="BK203" s="8" t="str">
        <f t="shared" si="3"/>
        <v/>
      </c>
      <c r="BL203" s="11" t="str" cm="1">
        <f t="array" ref="BL203">_xlfn.TEXTJOIN(" ", TRUE, _xlfn._xlws.FILTER(C203:BJ203, MOD(COLUMN(C203:BJ203)-COLUMN(BN203),2)=0))</f>
        <v>NO CLASS DUE TO HOLIDAY</v>
      </c>
    </row>
    <row r="204" spans="1:64" ht="14.35" customHeight="1" x14ac:dyDescent="0.45">
      <c r="A204" s="29"/>
      <c r="B204" s="8" t="s">
        <v>43</v>
      </c>
      <c r="C204" s="8" t="s">
        <v>79</v>
      </c>
      <c r="D204" s="10" t="s">
        <v>79</v>
      </c>
      <c r="E204" s="8" t="s">
        <v>83</v>
      </c>
      <c r="F204" s="21" t="s">
        <v>83</v>
      </c>
      <c r="G204" s="8" t="s">
        <v>83</v>
      </c>
      <c r="H204" s="21" t="s">
        <v>83</v>
      </c>
      <c r="I204" s="8" t="s">
        <v>83</v>
      </c>
      <c r="J204" s="21" t="s">
        <v>83</v>
      </c>
      <c r="L204" s="21" t="s">
        <v>83</v>
      </c>
      <c r="N204" s="21" t="s">
        <v>83</v>
      </c>
      <c r="BK204" s="8" t="str">
        <f t="shared" si="3"/>
        <v/>
      </c>
      <c r="BL204" s="11" t="str" cm="1">
        <f t="array" ref="BL204">_xlfn.TEXTJOIN(" ", TRUE, _xlfn._xlws.FILTER(C204:BJ204, MOD(COLUMN(C204:BJ204)-COLUMN(BN204),2)=0))</f>
        <v>AB TC TC TC TC TC</v>
      </c>
    </row>
    <row r="205" spans="1:64" ht="14.35" customHeight="1" x14ac:dyDescent="0.45">
      <c r="A205" s="29"/>
      <c r="B205" s="8" t="s">
        <v>44</v>
      </c>
      <c r="C205" s="9"/>
      <c r="D205" s="14"/>
      <c r="E205" s="8"/>
      <c r="I205" s="8"/>
      <c r="BK205" s="8" t="str">
        <f t="shared" si="3"/>
        <v/>
      </c>
      <c r="BL205" s="11" t="str" cm="1">
        <f t="array" ref="BL205">_xlfn.TEXTJOIN(" ", TRUE, _xlfn._xlws.FILTER(C205:BJ205, MOD(COLUMN(C205:BJ205)-COLUMN(BN205),2)=0))</f>
        <v/>
      </c>
    </row>
    <row r="206" spans="1:64" ht="14.35" customHeight="1" x14ac:dyDescent="0.45">
      <c r="A206" s="29"/>
      <c r="B206" s="8" t="s">
        <v>45</v>
      </c>
      <c r="E206" s="8"/>
      <c r="I206" s="8"/>
      <c r="BK206" s="8" t="str">
        <f t="shared" si="3"/>
        <v/>
      </c>
      <c r="BL206" s="11" t="str" cm="1">
        <f t="array" ref="BL206">_xlfn.TEXTJOIN(" ", TRUE, _xlfn._xlws.FILTER(C206:BJ206, MOD(COLUMN(C206:BJ206)-COLUMN(BN206),2)=0))</f>
        <v/>
      </c>
    </row>
    <row r="207" spans="1:64" x14ac:dyDescent="0.45">
      <c r="E207" s="8"/>
      <c r="I207" s="8"/>
      <c r="BK207" s="8" t="str">
        <f t="shared" si="3"/>
        <v/>
      </c>
      <c r="BL207" s="11" t="str" cm="1">
        <f t="array" ref="BL207">_xlfn.TEXTJOIN(" ", TRUE, _xlfn._xlws.FILTER(C207:BJ207, MOD(COLUMN(C207:BJ207)-COLUMN(BN207),2)=0))</f>
        <v/>
      </c>
    </row>
    <row r="208" spans="1:64" x14ac:dyDescent="0.45">
      <c r="E208" s="8"/>
      <c r="I208" s="8"/>
      <c r="BK208" s="8" t="str">
        <f t="shared" si="3"/>
        <v/>
      </c>
      <c r="BL208" s="11" t="str" cm="1">
        <f t="array" ref="BL208">_xlfn.TEXTJOIN(" ", TRUE, _xlfn._xlws.FILTER(C208:BJ208, MOD(COLUMN(C208:BJ208)-COLUMN(BN208),2)=0))</f>
        <v/>
      </c>
    </row>
    <row r="209" spans="5:64" x14ac:dyDescent="0.45">
      <c r="E209" s="8"/>
      <c r="I209" s="8"/>
      <c r="BK209" s="8" t="str">
        <f t="shared" si="3"/>
        <v/>
      </c>
      <c r="BL209" s="11" t="str" cm="1">
        <f t="array" ref="BL209">_xlfn.TEXTJOIN(" ", TRUE, _xlfn._xlws.FILTER(C209:BJ209, MOD(COLUMN(C209:BJ209)-COLUMN(BN209),2)=0))</f>
        <v/>
      </c>
    </row>
    <row r="210" spans="5:64" x14ac:dyDescent="0.45">
      <c r="E210" s="8"/>
      <c r="I210" s="8"/>
      <c r="BK210" s="8" t="str">
        <f t="shared" si="3"/>
        <v/>
      </c>
      <c r="BL210" s="11" t="str" cm="1">
        <f t="array" ref="BL210">_xlfn.TEXTJOIN(" ", TRUE, _xlfn._xlws.FILTER(C210:BJ210, MOD(COLUMN(C210:BJ210)-COLUMN(BN210),2)=0))</f>
        <v/>
      </c>
    </row>
    <row r="211" spans="5:64" x14ac:dyDescent="0.45">
      <c r="E211" s="8"/>
      <c r="I211" s="8"/>
      <c r="BK211" s="8" t="str">
        <f t="shared" si="3"/>
        <v/>
      </c>
      <c r="BL211" s="11" t="str" cm="1">
        <f t="array" ref="BL211">_xlfn.TEXTJOIN(" ", TRUE, _xlfn._xlws.FILTER(C211:BJ211, MOD(COLUMN(C211:BJ211)-COLUMN(BN211),2)=0))</f>
        <v/>
      </c>
    </row>
    <row r="212" spans="5:64" x14ac:dyDescent="0.45">
      <c r="E212" s="8"/>
      <c r="I212" s="8"/>
      <c r="BK212" s="8" t="str">
        <f t="shared" si="3"/>
        <v/>
      </c>
      <c r="BL212" s="11" t="str" cm="1">
        <f t="array" ref="BL212">_xlfn.TEXTJOIN(" ", TRUE, _xlfn._xlws.FILTER(C212:BJ212, MOD(COLUMN(C212:BJ212)-COLUMN(BN212),2)=0))</f>
        <v/>
      </c>
    </row>
    <row r="213" spans="5:64" x14ac:dyDescent="0.45">
      <c r="E213" s="8"/>
      <c r="I213" s="8"/>
      <c r="BK213" s="8" t="str">
        <f t="shared" si="3"/>
        <v/>
      </c>
      <c r="BL213" s="11" t="str" cm="1">
        <f t="array" ref="BL213">_xlfn.TEXTJOIN(" ", TRUE, _xlfn._xlws.FILTER(C213:BJ213, MOD(COLUMN(C213:BJ213)-COLUMN(BN213),2)=0))</f>
        <v/>
      </c>
    </row>
    <row r="214" spans="5:64" x14ac:dyDescent="0.45">
      <c r="E214" s="8"/>
      <c r="I214" s="8"/>
      <c r="BK214" s="8" t="str">
        <f t="shared" si="3"/>
        <v/>
      </c>
      <c r="BL214" s="11" t="str" cm="1">
        <f t="array" ref="BL214">_xlfn.TEXTJOIN(" ", TRUE, _xlfn._xlws.FILTER(C214:BJ214, MOD(COLUMN(C214:BJ214)-COLUMN(BN214),2)=0))</f>
        <v/>
      </c>
    </row>
    <row r="215" spans="5:64" x14ac:dyDescent="0.45">
      <c r="E215" s="8"/>
      <c r="I215" s="8"/>
      <c r="BK215" s="8" t="str">
        <f t="shared" si="3"/>
        <v/>
      </c>
      <c r="BL215" s="11" t="str" cm="1">
        <f t="array" ref="BL215">_xlfn.TEXTJOIN(" ", TRUE, _xlfn._xlws.FILTER(C215:BJ215, MOD(COLUMN(C215:BJ215)-COLUMN(BN215),2)=0))</f>
        <v/>
      </c>
    </row>
    <row r="216" spans="5:64" x14ac:dyDescent="0.45">
      <c r="E216" s="8"/>
      <c r="I216" s="8"/>
      <c r="BK216" s="8" t="str">
        <f t="shared" si="3"/>
        <v/>
      </c>
    </row>
    <row r="217" spans="5:64" x14ac:dyDescent="0.45">
      <c r="E217" s="8"/>
      <c r="I217" s="8"/>
      <c r="BK217" s="8" t="str">
        <f t="shared" si="3"/>
        <v/>
      </c>
    </row>
    <row r="218" spans="5:64" x14ac:dyDescent="0.45">
      <c r="E218" s="8"/>
      <c r="I218" s="8"/>
      <c r="BK218" s="8" t="str">
        <f t="shared" si="3"/>
        <v/>
      </c>
    </row>
    <row r="219" spans="5:64" x14ac:dyDescent="0.45">
      <c r="E219" s="8"/>
      <c r="I219" s="8"/>
      <c r="BK219" s="8" t="str">
        <f t="shared" si="3"/>
        <v/>
      </c>
    </row>
    <row r="220" spans="5:64" x14ac:dyDescent="0.45">
      <c r="E220" s="8"/>
      <c r="I220" s="8"/>
    </row>
    <row r="221" spans="5:64" x14ac:dyDescent="0.45">
      <c r="E221" s="8"/>
      <c r="I221" s="8"/>
    </row>
    <row r="222" spans="5:64" x14ac:dyDescent="0.45">
      <c r="E222" s="8"/>
      <c r="I222" s="8"/>
    </row>
    <row r="223" spans="5:64" x14ac:dyDescent="0.45">
      <c r="E223" s="8"/>
      <c r="I223" s="8"/>
    </row>
    <row r="224" spans="5:64" x14ac:dyDescent="0.45">
      <c r="E224" s="8"/>
      <c r="I224" s="8"/>
    </row>
    <row r="225" spans="5:9" x14ac:dyDescent="0.45">
      <c r="E225" s="8"/>
      <c r="I225" s="8"/>
    </row>
    <row r="226" spans="5:9" x14ac:dyDescent="0.45">
      <c r="E226" s="8"/>
      <c r="I226" s="8"/>
    </row>
    <row r="227" spans="5:9" x14ac:dyDescent="0.45">
      <c r="E227" s="8"/>
      <c r="I227" s="8"/>
    </row>
    <row r="228" spans="5:9" x14ac:dyDescent="0.45">
      <c r="E228" s="8"/>
      <c r="I228" s="8"/>
    </row>
    <row r="229" spans="5:9" x14ac:dyDescent="0.45">
      <c r="E229" s="8"/>
      <c r="I229" s="8"/>
    </row>
    <row r="230" spans="5:9" x14ac:dyDescent="0.45">
      <c r="E230" s="8"/>
      <c r="I230" s="8"/>
    </row>
    <row r="231" spans="5:9" x14ac:dyDescent="0.45">
      <c r="E231" s="8"/>
      <c r="I231" s="8"/>
    </row>
    <row r="232" spans="5:9" x14ac:dyDescent="0.45">
      <c r="E232" s="8"/>
      <c r="I232" s="8"/>
    </row>
    <row r="233" spans="5:9" x14ac:dyDescent="0.45">
      <c r="E233" s="8"/>
      <c r="I233" s="8"/>
    </row>
    <row r="234" spans="5:9" x14ac:dyDescent="0.45">
      <c r="E234" s="8"/>
      <c r="I234" s="8"/>
    </row>
    <row r="235" spans="5:9" x14ac:dyDescent="0.45">
      <c r="E235" s="8"/>
      <c r="I235" s="8"/>
    </row>
    <row r="236" spans="5:9" x14ac:dyDescent="0.45">
      <c r="E236" s="8"/>
      <c r="I236" s="8"/>
    </row>
    <row r="237" spans="5:9" x14ac:dyDescent="0.45">
      <c r="E237" s="8"/>
    </row>
    <row r="238" spans="5:9" x14ac:dyDescent="0.45">
      <c r="E238" s="8"/>
    </row>
    <row r="239" spans="5:9" x14ac:dyDescent="0.45">
      <c r="E239" s="8"/>
    </row>
    <row r="240" spans="5:9" x14ac:dyDescent="0.45">
      <c r="E240" s="8"/>
    </row>
    <row r="241" spans="5:5" x14ac:dyDescent="0.45">
      <c r="E241" s="8"/>
    </row>
    <row r="242" spans="5:5" x14ac:dyDescent="0.45">
      <c r="E242" s="8"/>
    </row>
    <row r="243" spans="5:5" x14ac:dyDescent="0.45">
      <c r="E243" s="8"/>
    </row>
    <row r="244" spans="5:5" x14ac:dyDescent="0.45">
      <c r="E244" s="8"/>
    </row>
    <row r="245" spans="5:5" x14ac:dyDescent="0.45">
      <c r="E245" s="8"/>
    </row>
    <row r="246" spans="5:5" x14ac:dyDescent="0.45">
      <c r="E246" s="8"/>
    </row>
    <row r="247" spans="5:5" x14ac:dyDescent="0.45">
      <c r="E247" s="8"/>
    </row>
    <row r="248" spans="5:5" x14ac:dyDescent="0.45">
      <c r="E248" s="8"/>
    </row>
  </sheetData>
  <mergeCells count="68">
    <mergeCell ref="A177:A182"/>
    <mergeCell ref="A123:A128"/>
    <mergeCell ref="A129:A134"/>
    <mergeCell ref="A135:A140"/>
    <mergeCell ref="A141:A146"/>
    <mergeCell ref="A147:A152"/>
    <mergeCell ref="A111:A116"/>
    <mergeCell ref="A153:A158"/>
    <mergeCell ref="A159:A164"/>
    <mergeCell ref="A165:A170"/>
    <mergeCell ref="A171:A176"/>
    <mergeCell ref="A21:A26"/>
    <mergeCell ref="A27:A32"/>
    <mergeCell ref="A33:A38"/>
    <mergeCell ref="A39:A44"/>
    <mergeCell ref="A183:A188"/>
    <mergeCell ref="A117:A122"/>
    <mergeCell ref="A51:A56"/>
    <mergeCell ref="A57:A62"/>
    <mergeCell ref="A63:A68"/>
    <mergeCell ref="A69:A74"/>
    <mergeCell ref="A75:A80"/>
    <mergeCell ref="A81:A86"/>
    <mergeCell ref="A87:A92"/>
    <mergeCell ref="A93:A98"/>
    <mergeCell ref="A99:A104"/>
    <mergeCell ref="A105:A110"/>
    <mergeCell ref="BK1:BL1"/>
    <mergeCell ref="BM1:BN1"/>
    <mergeCell ref="BO1:BP1"/>
    <mergeCell ref="BQ1:BR1"/>
    <mergeCell ref="A3:A8"/>
    <mergeCell ref="AY1:AZ1"/>
    <mergeCell ref="BA1:BB1"/>
    <mergeCell ref="BC1:BD1"/>
    <mergeCell ref="BE1:BF1"/>
    <mergeCell ref="BG1:BH1"/>
    <mergeCell ref="BI1:BJ1"/>
    <mergeCell ref="AM1:AN1"/>
    <mergeCell ref="AO1:AP1"/>
    <mergeCell ref="AQ1:AR1"/>
    <mergeCell ref="AS1:AT1"/>
    <mergeCell ref="AU1:AV1"/>
    <mergeCell ref="A9:A14"/>
    <mergeCell ref="A15:A20"/>
    <mergeCell ref="AW1:AX1"/>
    <mergeCell ref="AA1:AB1"/>
    <mergeCell ref="AC1:AD1"/>
    <mergeCell ref="AE1:AF1"/>
    <mergeCell ref="AG1:AH1"/>
    <mergeCell ref="AI1:AJ1"/>
    <mergeCell ref="AK1:AL1"/>
    <mergeCell ref="A195:A200"/>
    <mergeCell ref="A201:A206"/>
    <mergeCell ref="A189:A194"/>
    <mergeCell ref="Y1:Z1"/>
    <mergeCell ref="C1:D1"/>
    <mergeCell ref="E1:F1"/>
    <mergeCell ref="G1:H1"/>
    <mergeCell ref="I1:J1"/>
    <mergeCell ref="K1:L1"/>
    <mergeCell ref="M1:N1"/>
    <mergeCell ref="O1:P1"/>
    <mergeCell ref="Q1:R1"/>
    <mergeCell ref="S1:T1"/>
    <mergeCell ref="U1:V1"/>
    <mergeCell ref="W1:X1"/>
    <mergeCell ref="A45:A50"/>
  </mergeCells>
  <phoneticPr fontId="5" type="noConversion"/>
  <conditionalFormatting sqref="C138">
    <cfRule type="containsText" dxfId="1062" priority="2156" operator="containsText" text="75">
      <formula>NOT(ISERROR(SEARCH("75",C138)))</formula>
    </cfRule>
    <cfRule type="containsText" dxfId="1061" priority="2155" operator="containsText" text="100">
      <formula>NOT(ISERROR(SEARCH("100",C138)))</formula>
    </cfRule>
    <cfRule type="containsText" dxfId="1060" priority="2153" operator="containsText" text="25">
      <formula>NOT(ISERROR(SEARCH("25",C138)))</formula>
    </cfRule>
    <cfRule type="containsText" dxfId="1059" priority="2154" operator="containsText" text="50">
      <formula>NOT(ISERROR(SEARCH("50",C138)))</formula>
    </cfRule>
  </conditionalFormatting>
  <conditionalFormatting sqref="C144">
    <cfRule type="containsText" dxfId="1058" priority="2146" operator="containsText" text="50">
      <formula>NOT(ISERROR(SEARCH("50",C144)))</formula>
    </cfRule>
    <cfRule type="containsText" dxfId="1057" priority="2147" operator="containsText" text="100">
      <formula>NOT(ISERROR(SEARCH("100",C144)))</formula>
    </cfRule>
    <cfRule type="containsText" dxfId="1056" priority="2148" operator="containsText" text="75">
      <formula>NOT(ISERROR(SEARCH("75",C144)))</formula>
    </cfRule>
    <cfRule type="containsText" dxfId="1055" priority="2145" operator="containsText" text="25">
      <formula>NOT(ISERROR(SEARCH("25",C144)))</formula>
    </cfRule>
  </conditionalFormatting>
  <conditionalFormatting sqref="C150">
    <cfRule type="containsText" dxfId="1054" priority="2141" operator="containsText" text="25">
      <formula>NOT(ISERROR(SEARCH("25",C150)))</formula>
    </cfRule>
    <cfRule type="containsText" dxfId="1053" priority="2144" operator="containsText" text="75">
      <formula>NOT(ISERROR(SEARCH("75",C150)))</formula>
    </cfRule>
    <cfRule type="containsText" dxfId="1052" priority="2143" operator="containsText" text="100">
      <formula>NOT(ISERROR(SEARCH("100",C150)))</formula>
    </cfRule>
    <cfRule type="containsText" dxfId="1051" priority="2142" operator="containsText" text="50">
      <formula>NOT(ISERROR(SEARCH("50",C150)))</formula>
    </cfRule>
  </conditionalFormatting>
  <conditionalFormatting sqref="C156">
    <cfRule type="containsText" dxfId="1050" priority="2140" operator="containsText" text="75">
      <formula>NOT(ISERROR(SEARCH("75",C156)))</formula>
    </cfRule>
    <cfRule type="containsText" dxfId="1049" priority="2139" operator="containsText" text="100">
      <formula>NOT(ISERROR(SEARCH("100",C156)))</formula>
    </cfRule>
    <cfRule type="containsText" dxfId="1048" priority="2138" operator="containsText" text="50">
      <formula>NOT(ISERROR(SEARCH("50",C156)))</formula>
    </cfRule>
    <cfRule type="containsText" dxfId="1047" priority="2137" operator="containsText" text="25">
      <formula>NOT(ISERROR(SEARCH("25",C156)))</formula>
    </cfRule>
  </conditionalFormatting>
  <conditionalFormatting sqref="C168">
    <cfRule type="containsText" dxfId="1046" priority="2134" operator="containsText" text="50">
      <formula>NOT(ISERROR(SEARCH("50",C168)))</formula>
    </cfRule>
    <cfRule type="containsText" dxfId="1045" priority="2136" operator="containsText" text="75">
      <formula>NOT(ISERROR(SEARCH("75",C168)))</formula>
    </cfRule>
    <cfRule type="containsText" dxfId="1044" priority="2135" operator="containsText" text="100">
      <formula>NOT(ISERROR(SEARCH("100",C168)))</formula>
    </cfRule>
    <cfRule type="containsText" dxfId="1043" priority="2133" operator="containsText" text="25">
      <formula>NOT(ISERROR(SEARCH("25",C168)))</formula>
    </cfRule>
  </conditionalFormatting>
  <conditionalFormatting sqref="C174">
    <cfRule type="containsText" dxfId="1042" priority="2131" operator="containsText" text="100">
      <formula>NOT(ISERROR(SEARCH("100",C174)))</formula>
    </cfRule>
    <cfRule type="containsText" dxfId="1041" priority="2130" operator="containsText" text="50">
      <formula>NOT(ISERROR(SEARCH("50",C174)))</formula>
    </cfRule>
    <cfRule type="containsText" dxfId="1040" priority="2129" operator="containsText" text="25">
      <formula>NOT(ISERROR(SEARCH("25",C174)))</formula>
    </cfRule>
    <cfRule type="containsText" dxfId="1039" priority="2132" operator="containsText" text="75">
      <formula>NOT(ISERROR(SEARCH("75",C174)))</formula>
    </cfRule>
  </conditionalFormatting>
  <conditionalFormatting sqref="C180">
    <cfRule type="containsText" dxfId="1038" priority="2125" operator="containsText" text="25">
      <formula>NOT(ISERROR(SEARCH("25",C180)))</formula>
    </cfRule>
    <cfRule type="containsText" dxfId="1037" priority="2126" operator="containsText" text="50">
      <formula>NOT(ISERROR(SEARCH("50",C180)))</formula>
    </cfRule>
    <cfRule type="containsText" dxfId="1036" priority="2127" operator="containsText" text="100">
      <formula>NOT(ISERROR(SEARCH("100",C180)))</formula>
    </cfRule>
    <cfRule type="containsText" dxfId="1035" priority="2128" operator="containsText" text="75">
      <formula>NOT(ISERROR(SEARCH("75",C180)))</formula>
    </cfRule>
  </conditionalFormatting>
  <conditionalFormatting sqref="C186">
    <cfRule type="containsText" dxfId="1034" priority="2124" operator="containsText" text="75">
      <formula>NOT(ISERROR(SEARCH("75",C186)))</formula>
    </cfRule>
    <cfRule type="containsText" dxfId="1033" priority="2123" operator="containsText" text="100">
      <formula>NOT(ISERROR(SEARCH("100",C186)))</formula>
    </cfRule>
    <cfRule type="containsText" dxfId="1032" priority="2122" operator="containsText" text="50">
      <formula>NOT(ISERROR(SEARCH("50",C186)))</formula>
    </cfRule>
    <cfRule type="containsText" dxfId="1031" priority="2121" operator="containsText" text="25">
      <formula>NOT(ISERROR(SEARCH("25",C186)))</formula>
    </cfRule>
  </conditionalFormatting>
  <conditionalFormatting sqref="C121:D121">
    <cfRule type="containsText" dxfId="1030" priority="1955" operator="containsText" text="100">
      <formula>NOT(ISERROR(SEARCH("100",C121)))</formula>
    </cfRule>
    <cfRule type="containsText" dxfId="1029" priority="1954" operator="containsText" text="50">
      <formula>NOT(ISERROR(SEARCH("50",C121)))</formula>
    </cfRule>
    <cfRule type="containsText" dxfId="1028" priority="1953" operator="containsText" text="25">
      <formula>NOT(ISERROR(SEARCH("25",C121)))</formula>
    </cfRule>
    <cfRule type="containsText" dxfId="1027" priority="1956" operator="containsText" text="75">
      <formula>NOT(ISERROR(SEARCH("75",C121)))</formula>
    </cfRule>
  </conditionalFormatting>
  <conditionalFormatting sqref="C133:D133">
    <cfRule type="containsText" dxfId="1026" priority="1948" operator="containsText" text="75">
      <formula>NOT(ISERROR(SEARCH("75",C133)))</formula>
    </cfRule>
    <cfRule type="containsText" dxfId="1025" priority="1947" operator="containsText" text="100">
      <formula>NOT(ISERROR(SEARCH("100",C133)))</formula>
    </cfRule>
    <cfRule type="containsText" dxfId="1024" priority="1946" operator="containsText" text="50">
      <formula>NOT(ISERROR(SEARCH("50",C133)))</formula>
    </cfRule>
    <cfRule type="containsText" dxfId="1023" priority="1945" operator="containsText" text="25">
      <formula>NOT(ISERROR(SEARCH("25",C133)))</formula>
    </cfRule>
  </conditionalFormatting>
  <conditionalFormatting sqref="C127:E127">
    <cfRule type="containsText" dxfId="1022" priority="1881" operator="containsText" text="25">
      <formula>NOT(ISERROR(SEARCH("25",C127)))</formula>
    </cfRule>
    <cfRule type="containsText" dxfId="1021" priority="1882" operator="containsText" text="50">
      <formula>NOT(ISERROR(SEARCH("50",C127)))</formula>
    </cfRule>
    <cfRule type="containsText" dxfId="1020" priority="1883" operator="containsText" text="100">
      <formula>NOT(ISERROR(SEARCH("100",C127)))</formula>
    </cfRule>
    <cfRule type="containsText" dxfId="1019" priority="1884" operator="containsText" text="75">
      <formula>NOT(ISERROR(SEARCH("75",C127)))</formula>
    </cfRule>
  </conditionalFormatting>
  <conditionalFormatting sqref="C139:E139">
    <cfRule type="containsText" dxfId="1018" priority="1875" operator="containsText" text="100">
      <formula>NOT(ISERROR(SEARCH("100",C139)))</formula>
    </cfRule>
    <cfRule type="containsText" dxfId="1017" priority="1874" operator="containsText" text="50">
      <formula>NOT(ISERROR(SEARCH("50",C139)))</formula>
    </cfRule>
    <cfRule type="containsText" dxfId="1016" priority="1873" operator="containsText" text="25">
      <formula>NOT(ISERROR(SEARCH("25",C139)))</formula>
    </cfRule>
    <cfRule type="containsText" dxfId="1015" priority="1876" operator="containsText" text="75">
      <formula>NOT(ISERROR(SEARCH("75",C139)))</formula>
    </cfRule>
  </conditionalFormatting>
  <conditionalFormatting sqref="C145:E145">
    <cfRule type="containsText" dxfId="1014" priority="1871" operator="containsText" text="100">
      <formula>NOT(ISERROR(SEARCH("100",C145)))</formula>
    </cfRule>
    <cfRule type="containsText" dxfId="1013" priority="1872" operator="containsText" text="75">
      <formula>NOT(ISERROR(SEARCH("75",C145)))</formula>
    </cfRule>
    <cfRule type="containsText" dxfId="1012" priority="1869" operator="containsText" text="25">
      <formula>NOT(ISERROR(SEARCH("25",C145)))</formula>
    </cfRule>
    <cfRule type="containsText" dxfId="1011" priority="1870" operator="containsText" text="50">
      <formula>NOT(ISERROR(SEARCH("50",C145)))</formula>
    </cfRule>
  </conditionalFormatting>
  <conditionalFormatting sqref="C151:E151">
    <cfRule type="containsText" dxfId="1010" priority="1866" operator="containsText" text="50">
      <formula>NOT(ISERROR(SEARCH("50",C151)))</formula>
    </cfRule>
    <cfRule type="containsText" dxfId="1009" priority="1865" operator="containsText" text="25">
      <formula>NOT(ISERROR(SEARCH("25",C151)))</formula>
    </cfRule>
    <cfRule type="containsText" dxfId="1008" priority="1868" operator="containsText" text="75">
      <formula>NOT(ISERROR(SEARCH("75",C151)))</formula>
    </cfRule>
    <cfRule type="containsText" dxfId="1007" priority="1867" operator="containsText" text="100">
      <formula>NOT(ISERROR(SEARCH("100",C151)))</formula>
    </cfRule>
  </conditionalFormatting>
  <conditionalFormatting sqref="C157:E157">
    <cfRule type="containsText" dxfId="1006" priority="1861" operator="containsText" text="25">
      <formula>NOT(ISERROR(SEARCH("25",C157)))</formula>
    </cfRule>
    <cfRule type="containsText" dxfId="1005" priority="1862" operator="containsText" text="50">
      <formula>NOT(ISERROR(SEARCH("50",C157)))</formula>
    </cfRule>
    <cfRule type="containsText" dxfId="1004" priority="1863" operator="containsText" text="100">
      <formula>NOT(ISERROR(SEARCH("100",C157)))</formula>
    </cfRule>
    <cfRule type="containsText" dxfId="1003" priority="1864" operator="containsText" text="75">
      <formula>NOT(ISERROR(SEARCH("75",C157)))</formula>
    </cfRule>
  </conditionalFormatting>
  <conditionalFormatting sqref="C163:E163">
    <cfRule type="containsText" dxfId="1002" priority="1860" operator="containsText" text="75">
      <formula>NOT(ISERROR(SEARCH("75",C163)))</formula>
    </cfRule>
    <cfRule type="containsText" dxfId="1001" priority="1858" operator="containsText" text="50">
      <formula>NOT(ISERROR(SEARCH("50",C163)))</formula>
    </cfRule>
    <cfRule type="containsText" dxfId="1000" priority="1857" operator="containsText" text="25">
      <formula>NOT(ISERROR(SEARCH("25",C163)))</formula>
    </cfRule>
    <cfRule type="containsText" dxfId="999" priority="1859" operator="containsText" text="100">
      <formula>NOT(ISERROR(SEARCH("100",C163)))</formula>
    </cfRule>
  </conditionalFormatting>
  <conditionalFormatting sqref="C169:E169">
    <cfRule type="containsText" dxfId="998" priority="1854" operator="containsText" text="50">
      <formula>NOT(ISERROR(SEARCH("50",C169)))</formula>
    </cfRule>
    <cfRule type="containsText" dxfId="997" priority="1856" operator="containsText" text="75">
      <formula>NOT(ISERROR(SEARCH("75",C169)))</formula>
    </cfRule>
    <cfRule type="containsText" dxfId="996" priority="1855" operator="containsText" text="100">
      <formula>NOT(ISERROR(SEARCH("100",C169)))</formula>
    </cfRule>
    <cfRule type="containsText" dxfId="995" priority="1853" operator="containsText" text="25">
      <formula>NOT(ISERROR(SEARCH("25",C169)))</formula>
    </cfRule>
  </conditionalFormatting>
  <conditionalFormatting sqref="C175:E175">
    <cfRule type="containsText" dxfId="994" priority="1852" operator="containsText" text="75">
      <formula>NOT(ISERROR(SEARCH("75",C175)))</formula>
    </cfRule>
    <cfRule type="containsText" dxfId="993" priority="1850" operator="containsText" text="50">
      <formula>NOT(ISERROR(SEARCH("50",C175)))</formula>
    </cfRule>
    <cfRule type="containsText" dxfId="992" priority="1849" operator="containsText" text="25">
      <formula>NOT(ISERROR(SEARCH("25",C175)))</formula>
    </cfRule>
    <cfRule type="containsText" dxfId="991" priority="1851" operator="containsText" text="100">
      <formula>NOT(ISERROR(SEARCH("100",C175)))</formula>
    </cfRule>
  </conditionalFormatting>
  <conditionalFormatting sqref="C181:E181">
    <cfRule type="containsText" dxfId="990" priority="1845" operator="containsText" text="25">
      <formula>NOT(ISERROR(SEARCH("25",C181)))</formula>
    </cfRule>
    <cfRule type="containsText" dxfId="989" priority="1846" operator="containsText" text="50">
      <formula>NOT(ISERROR(SEARCH("50",C181)))</formula>
    </cfRule>
    <cfRule type="containsText" dxfId="988" priority="1848" operator="containsText" text="75">
      <formula>NOT(ISERROR(SEARCH("75",C181)))</formula>
    </cfRule>
    <cfRule type="containsText" dxfId="987" priority="1847" operator="containsText" text="100">
      <formula>NOT(ISERROR(SEARCH("100",C181)))</formula>
    </cfRule>
  </conditionalFormatting>
  <conditionalFormatting sqref="C187:E187">
    <cfRule type="containsText" dxfId="986" priority="1844" operator="containsText" text="75">
      <formula>NOT(ISERROR(SEARCH("75",C187)))</formula>
    </cfRule>
    <cfRule type="containsText" dxfId="985" priority="1843" operator="containsText" text="100">
      <formula>NOT(ISERROR(SEARCH("100",C187)))</formula>
    </cfRule>
    <cfRule type="containsText" dxfId="984" priority="1842" operator="containsText" text="50">
      <formula>NOT(ISERROR(SEARCH("50",C187)))</formula>
    </cfRule>
    <cfRule type="containsText" dxfId="983" priority="1841" operator="containsText" text="25">
      <formula>NOT(ISERROR(SEARCH("25",C187)))</formula>
    </cfRule>
  </conditionalFormatting>
  <conditionalFormatting sqref="C193:E193">
    <cfRule type="containsText" dxfId="982" priority="1837" operator="containsText" text="25">
      <formula>NOT(ISERROR(SEARCH("25",C193)))</formula>
    </cfRule>
    <cfRule type="containsText" dxfId="981" priority="1838" operator="containsText" text="50">
      <formula>NOT(ISERROR(SEARCH("50",C193)))</formula>
    </cfRule>
    <cfRule type="containsText" dxfId="980" priority="1840" operator="containsText" text="75">
      <formula>NOT(ISERROR(SEARCH("75",C193)))</formula>
    </cfRule>
    <cfRule type="containsText" dxfId="979" priority="1839" operator="containsText" text="100">
      <formula>NOT(ISERROR(SEARCH("100",C193)))</formula>
    </cfRule>
  </conditionalFormatting>
  <conditionalFormatting sqref="C199:E199">
    <cfRule type="containsText" dxfId="978" priority="1835" operator="containsText" text="100">
      <formula>NOT(ISERROR(SEARCH("100",C199)))</formula>
    </cfRule>
    <cfRule type="containsText" dxfId="977" priority="1834" operator="containsText" text="50">
      <formula>NOT(ISERROR(SEARCH("50",C199)))</formula>
    </cfRule>
    <cfRule type="containsText" dxfId="976" priority="1836" operator="containsText" text="75">
      <formula>NOT(ISERROR(SEARCH("75",C199)))</formula>
    </cfRule>
    <cfRule type="containsText" dxfId="975" priority="1833" operator="containsText" text="25">
      <formula>NOT(ISERROR(SEARCH("25",C199)))</formula>
    </cfRule>
  </conditionalFormatting>
  <conditionalFormatting sqref="C205:E205">
    <cfRule type="containsText" dxfId="974" priority="1832" operator="containsText" text="75">
      <formula>NOT(ISERROR(SEARCH("75",C205)))</formula>
    </cfRule>
    <cfRule type="containsText" dxfId="973" priority="1831" operator="containsText" text="100">
      <formula>NOT(ISERROR(SEARCH("100",C205)))</formula>
    </cfRule>
    <cfRule type="containsText" dxfId="972" priority="1830" operator="containsText" text="50">
      <formula>NOT(ISERROR(SEARCH("50",C205)))</formula>
    </cfRule>
    <cfRule type="containsText" dxfId="971" priority="1829" operator="containsText" text="25">
      <formula>NOT(ISERROR(SEARCH("25",C205)))</formula>
    </cfRule>
  </conditionalFormatting>
  <conditionalFormatting sqref="C82:J85">
    <cfRule type="containsText" dxfId="970" priority="440" operator="containsText" text="75">
      <formula>NOT(ISERROR(SEARCH("75",C82)))</formula>
    </cfRule>
    <cfRule type="containsText" dxfId="969" priority="439" operator="containsText" text="100">
      <formula>NOT(ISERROR(SEARCH("100",C82)))</formula>
    </cfRule>
    <cfRule type="containsText" dxfId="968" priority="438" operator="containsText" text="50">
      <formula>NOT(ISERROR(SEARCH("50",C82)))</formula>
    </cfRule>
    <cfRule type="containsText" dxfId="967" priority="437" operator="containsText" text="25">
      <formula>NOT(ISERROR(SEARCH("25",C82)))</formula>
    </cfRule>
  </conditionalFormatting>
  <conditionalFormatting sqref="C111:K115">
    <cfRule type="containsText" dxfId="966" priority="680" operator="containsText" text="75">
      <formula>NOT(ISERROR(SEARCH("75",C111)))</formula>
    </cfRule>
    <cfRule type="containsText" dxfId="965" priority="678" operator="containsText" text="50">
      <formula>NOT(ISERROR(SEARCH("50",C111)))</formula>
    </cfRule>
    <cfRule type="containsText" dxfId="964" priority="677" operator="containsText" text="25">
      <formula>NOT(ISERROR(SEARCH("25",C111)))</formula>
    </cfRule>
    <cfRule type="containsText" dxfId="963" priority="679" operator="containsText" text="100">
      <formula>NOT(ISERROR(SEARCH("100",C111)))</formula>
    </cfRule>
  </conditionalFormatting>
  <conditionalFormatting sqref="C4:M4">
    <cfRule type="containsText" dxfId="962" priority="308" operator="containsText" text="75">
      <formula>NOT(ISERROR(SEARCH("75",C4)))</formula>
    </cfRule>
    <cfRule type="containsText" dxfId="961" priority="307" operator="containsText" text="100">
      <formula>NOT(ISERROR(SEARCH("100",C4)))</formula>
    </cfRule>
    <cfRule type="containsText" dxfId="960" priority="305" operator="containsText" text="25">
      <formula>NOT(ISERROR(SEARCH("25",C4)))</formula>
    </cfRule>
    <cfRule type="containsText" dxfId="959" priority="306" operator="containsText" text="50">
      <formula>NOT(ISERROR(SEARCH("50",C4)))</formula>
    </cfRule>
  </conditionalFormatting>
  <conditionalFormatting sqref="C10:M10">
    <cfRule type="containsText" dxfId="958" priority="302" operator="containsText" text="50">
      <formula>NOT(ISERROR(SEARCH("50",C10)))</formula>
    </cfRule>
    <cfRule type="containsText" dxfId="957" priority="304" operator="containsText" text="75">
      <formula>NOT(ISERROR(SEARCH("75",C10)))</formula>
    </cfRule>
    <cfRule type="containsText" dxfId="956" priority="303" operator="containsText" text="100">
      <formula>NOT(ISERROR(SEARCH("100",C10)))</formula>
    </cfRule>
    <cfRule type="containsText" dxfId="955" priority="301" operator="containsText" text="25">
      <formula>NOT(ISERROR(SEARCH("25",C10)))</formula>
    </cfRule>
  </conditionalFormatting>
  <conditionalFormatting sqref="C11:N11 P11 C14:BJ15 C120 C12:P13 S11:BJ13">
    <cfRule type="containsText" dxfId="954" priority="2159" operator="containsText" text="100">
      <formula>NOT(ISERROR(SEARCH("100",C11)))</formula>
    </cfRule>
    <cfRule type="containsText" dxfId="953" priority="2158" operator="containsText" text="50">
      <formula>NOT(ISERROR(SEARCH("50",C11)))</formula>
    </cfRule>
    <cfRule type="containsText" dxfId="952" priority="2160" operator="containsText" text="75">
      <formula>NOT(ISERROR(SEARCH("75",C11)))</formula>
    </cfRule>
    <cfRule type="containsText" dxfId="951" priority="2157" operator="containsText" text="25">
      <formula>NOT(ISERROR(SEARCH("25",C11)))</formula>
    </cfRule>
  </conditionalFormatting>
  <conditionalFormatting sqref="C17:P19 S17:BJ19">
    <cfRule type="containsText" dxfId="950" priority="222" operator="containsText" text="50">
      <formula>NOT(ISERROR(SEARCH("50",C17)))</formula>
    </cfRule>
    <cfRule type="containsText" dxfId="949" priority="223" operator="containsText" text="100">
      <formula>NOT(ISERROR(SEARCH("100",C17)))</formula>
    </cfRule>
    <cfRule type="containsText" dxfId="948" priority="224" operator="containsText" text="75">
      <formula>NOT(ISERROR(SEARCH("75",C17)))</formula>
    </cfRule>
  </conditionalFormatting>
  <conditionalFormatting sqref="C3:BJ3 O4:P4 S4:BJ6 C5:P7 R7:BJ7 C8:BJ9 O10:P10 S10:BJ10">
    <cfRule type="containsText" dxfId="947" priority="591" operator="containsText" text="100">
      <formula>NOT(ISERROR(SEARCH("100",C3)))</formula>
    </cfRule>
    <cfRule type="containsText" dxfId="946" priority="592" operator="containsText" text="75">
      <formula>NOT(ISERROR(SEARCH("75",C3)))</formula>
    </cfRule>
    <cfRule type="containsText" dxfId="945" priority="590" operator="containsText" text="50">
      <formula>NOT(ISERROR(SEARCH("50",C3)))</formula>
    </cfRule>
    <cfRule type="containsText" dxfId="944" priority="589" operator="containsText" text="25">
      <formula>NOT(ISERROR(SEARCH("25",C3)))</formula>
    </cfRule>
  </conditionalFormatting>
  <conditionalFormatting sqref="C20:BJ21 R22:BJ22 C22:L23 O22:P23 C28:L29 O28:P29 R34:BJ34 C34:L35 O34:P35 R40 C40:L41 O40:P41 R46:BJ46 C46:L47 O46:P47 R52 C52:L53 O52:P53 C58:L59 O58:P59 S28:BJ29 R28 S58:BJ59 R58">
    <cfRule type="containsText" dxfId="943" priority="548" operator="containsText" text="75">
      <formula>NOT(ISERROR(SEARCH("75",C20)))</formula>
    </cfRule>
    <cfRule type="containsText" dxfId="942" priority="547" operator="containsText" text="100">
      <formula>NOT(ISERROR(SEARCH("100",C20)))</formula>
    </cfRule>
    <cfRule type="containsText" dxfId="941" priority="545" operator="containsText" text="25">
      <formula>NOT(ISERROR(SEARCH("25",C20)))</formula>
    </cfRule>
    <cfRule type="containsText" dxfId="940" priority="546" operator="containsText" text="50">
      <formula>NOT(ISERROR(SEARCH("50",C20)))</formula>
    </cfRule>
  </conditionalFormatting>
  <conditionalFormatting sqref="C32:BJ33 C30:P31 S30:BJ31">
    <cfRule type="containsText" dxfId="939" priority="201" operator="containsText" text="25">
      <formula>NOT(ISERROR(SEARCH("25",C30)))</formula>
    </cfRule>
    <cfRule type="containsText" dxfId="938" priority="202" operator="containsText" text="50">
      <formula>NOT(ISERROR(SEARCH("50",C30)))</formula>
    </cfRule>
    <cfRule type="containsText" dxfId="937" priority="203" operator="containsText" text="100">
      <formula>NOT(ISERROR(SEARCH("100",C30)))</formula>
    </cfRule>
    <cfRule type="containsText" dxfId="936" priority="204" operator="containsText" text="75">
      <formula>NOT(ISERROR(SEARCH("75",C30)))</formula>
    </cfRule>
  </conditionalFormatting>
  <conditionalFormatting sqref="C60:P60 S60:BJ60">
    <cfRule type="containsText" dxfId="935" priority="168" operator="containsText" text="75">
      <formula>NOT(ISERROR(SEARCH("75",C60)))</formula>
    </cfRule>
    <cfRule type="containsText" dxfId="934" priority="167" operator="containsText" text="100">
      <formula>NOT(ISERROR(SEARCH("100",C60)))</formula>
    </cfRule>
    <cfRule type="containsText" dxfId="933" priority="166" operator="containsText" text="50">
      <formula>NOT(ISERROR(SEARCH("50",C60)))</formula>
    </cfRule>
    <cfRule type="containsText" dxfId="932" priority="165" operator="containsText" text="25">
      <formula>NOT(ISERROR(SEARCH("25",C60)))</formula>
    </cfRule>
  </conditionalFormatting>
  <conditionalFormatting sqref="C62:BJ63 C64:L65 O64:P65 O70:P70 R70:BJ70 C70:L71 C76:L77 O76:P77 K82:L83 S64:BJ65 S76:BJ77">
    <cfRule type="containsText" dxfId="931" priority="531" operator="containsText" text="100">
      <formula>NOT(ISERROR(SEARCH("100",C62)))</formula>
    </cfRule>
    <cfRule type="containsText" dxfId="930" priority="530" operator="containsText" text="50">
      <formula>NOT(ISERROR(SEARCH("50",C62)))</formula>
    </cfRule>
    <cfRule type="containsText" dxfId="929" priority="529" operator="containsText" text="25">
      <formula>NOT(ISERROR(SEARCH("25",C62)))</formula>
    </cfRule>
    <cfRule type="containsText" dxfId="928" priority="532" operator="containsText" text="75">
      <formula>NOT(ISERROR(SEARCH("75",C62)))</formula>
    </cfRule>
  </conditionalFormatting>
  <conditionalFormatting sqref="C68:BJ69 C66:P67 S66:BJ67">
    <cfRule type="containsText" dxfId="927" priority="162" operator="containsText" text="50">
      <formula>NOT(ISERROR(SEARCH("50",C66)))</formula>
    </cfRule>
    <cfRule type="containsText" dxfId="926" priority="161" operator="containsText" text="25">
      <formula>NOT(ISERROR(SEARCH("25",C66)))</formula>
    </cfRule>
    <cfRule type="containsText" dxfId="925" priority="164" operator="containsText" text="75">
      <formula>NOT(ISERROR(SEARCH("75",C66)))</formula>
    </cfRule>
    <cfRule type="containsText" dxfId="924" priority="163" operator="containsText" text="100">
      <formula>NOT(ISERROR(SEARCH("100",C66)))</formula>
    </cfRule>
  </conditionalFormatting>
  <conditionalFormatting sqref="C74:BJ75 C72:P73 S72:BJ73">
    <cfRule type="containsText" dxfId="923" priority="157" operator="containsText" text="25">
      <formula>NOT(ISERROR(SEARCH("25",C72)))</formula>
    </cfRule>
    <cfRule type="containsText" dxfId="922" priority="158" operator="containsText" text="50">
      <formula>NOT(ISERROR(SEARCH("50",C72)))</formula>
    </cfRule>
    <cfRule type="containsText" dxfId="921" priority="160" operator="containsText" text="75">
      <formula>NOT(ISERROR(SEARCH("75",C72)))</formula>
    </cfRule>
    <cfRule type="containsText" dxfId="920" priority="159" operator="containsText" text="100">
      <formula>NOT(ISERROR(SEARCH("100",C72)))</formula>
    </cfRule>
  </conditionalFormatting>
  <conditionalFormatting sqref="C80:BJ81 C78:P79 S78:BJ79">
    <cfRule type="containsText" dxfId="919" priority="153" operator="containsText" text="25">
      <formula>NOT(ISERROR(SEARCH("25",C78)))</formula>
    </cfRule>
    <cfRule type="containsText" dxfId="918" priority="154" operator="containsText" text="50">
      <formula>NOT(ISERROR(SEARCH("50",C78)))</formula>
    </cfRule>
    <cfRule type="containsText" dxfId="917" priority="155" operator="containsText" text="100">
      <formula>NOT(ISERROR(SEARCH("100",C78)))</formula>
    </cfRule>
    <cfRule type="containsText" dxfId="916" priority="156" operator="containsText" text="75">
      <formula>NOT(ISERROR(SEARCH("75",C78)))</formula>
    </cfRule>
  </conditionalFormatting>
  <conditionalFormatting sqref="D118:D119">
    <cfRule type="containsText" dxfId="915" priority="2116" operator="containsText" text="75">
      <formula>NOT(ISERROR(SEARCH("75",D118)))</formula>
    </cfRule>
    <cfRule type="containsText" dxfId="914" priority="2115" operator="containsText" text="100">
      <formula>NOT(ISERROR(SEARCH("100",D118)))</formula>
    </cfRule>
    <cfRule type="containsText" dxfId="913" priority="2113" operator="containsText" text="25">
      <formula>NOT(ISERROR(SEARCH("25",D118)))</formula>
    </cfRule>
    <cfRule type="containsText" dxfId="912" priority="2114" operator="containsText" text="50">
      <formula>NOT(ISERROR(SEARCH("50",D118)))</formula>
    </cfRule>
  </conditionalFormatting>
  <conditionalFormatting sqref="D124:D125">
    <cfRule type="containsText" dxfId="911" priority="2105" operator="containsText" text="25">
      <formula>NOT(ISERROR(SEARCH("25",D124)))</formula>
    </cfRule>
    <cfRule type="containsText" dxfId="910" priority="2107" operator="containsText" text="100">
      <formula>NOT(ISERROR(SEARCH("100",D124)))</formula>
    </cfRule>
    <cfRule type="containsText" dxfId="909" priority="2108" operator="containsText" text="75">
      <formula>NOT(ISERROR(SEARCH("75",D124)))</formula>
    </cfRule>
    <cfRule type="containsText" dxfId="908" priority="2106" operator="containsText" text="50">
      <formula>NOT(ISERROR(SEARCH("50",D124)))</formula>
    </cfRule>
  </conditionalFormatting>
  <conditionalFormatting sqref="D130:D131">
    <cfRule type="containsText" dxfId="907" priority="2098" operator="containsText" text="50">
      <formula>NOT(ISERROR(SEARCH("50",D130)))</formula>
    </cfRule>
    <cfRule type="containsText" dxfId="906" priority="2097" operator="containsText" text="25">
      <formula>NOT(ISERROR(SEARCH("25",D130)))</formula>
    </cfRule>
    <cfRule type="containsText" dxfId="905" priority="2100" operator="containsText" text="75">
      <formula>NOT(ISERROR(SEARCH("75",D130)))</formula>
    </cfRule>
    <cfRule type="containsText" dxfId="904" priority="2099" operator="containsText" text="100">
      <formula>NOT(ISERROR(SEARCH("100",D130)))</formula>
    </cfRule>
  </conditionalFormatting>
  <conditionalFormatting sqref="D136:D137">
    <cfRule type="containsText" dxfId="903" priority="2091" operator="containsText" text="100">
      <formula>NOT(ISERROR(SEARCH("100",D136)))</formula>
    </cfRule>
    <cfRule type="containsText" dxfId="902" priority="2090" operator="containsText" text="50">
      <formula>NOT(ISERROR(SEARCH("50",D136)))</formula>
    </cfRule>
    <cfRule type="containsText" dxfId="901" priority="2092" operator="containsText" text="75">
      <formula>NOT(ISERROR(SEARCH("75",D136)))</formula>
    </cfRule>
    <cfRule type="containsText" dxfId="900" priority="2089" operator="containsText" text="25">
      <formula>NOT(ISERROR(SEARCH("25",D136)))</formula>
    </cfRule>
  </conditionalFormatting>
  <conditionalFormatting sqref="D142:J142">
    <cfRule type="containsText" dxfId="899" priority="1488" operator="containsText" text="75">
      <formula>NOT(ISERROR(SEARCH("75",D142)))</formula>
    </cfRule>
    <cfRule type="containsText" dxfId="898" priority="1487" operator="containsText" text="100">
      <formula>NOT(ISERROR(SEARCH("100",D142)))</formula>
    </cfRule>
    <cfRule type="containsText" dxfId="897" priority="1486" operator="containsText" text="50">
      <formula>NOT(ISERROR(SEARCH("50",D142)))</formula>
    </cfRule>
    <cfRule type="containsText" dxfId="896" priority="1485" operator="containsText" text="25">
      <formula>NOT(ISERROR(SEARCH("25",D142)))</formula>
    </cfRule>
  </conditionalFormatting>
  <conditionalFormatting sqref="E119:E121">
    <cfRule type="containsText" dxfId="895" priority="1725" operator="containsText" text="25">
      <formula>NOT(ISERROR(SEARCH("25",E119)))</formula>
    </cfRule>
    <cfRule type="containsText" dxfId="894" priority="1728" operator="containsText" text="75">
      <formula>NOT(ISERROR(SEARCH("75",E119)))</formula>
    </cfRule>
    <cfRule type="containsText" dxfId="893" priority="1727" operator="containsText" text="100">
      <formula>NOT(ISERROR(SEARCH("100",E119)))</formula>
    </cfRule>
    <cfRule type="containsText" dxfId="892" priority="1726" operator="containsText" text="50">
      <formula>NOT(ISERROR(SEARCH("50",E119)))</formula>
    </cfRule>
  </conditionalFormatting>
  <conditionalFormatting sqref="E125:E126">
    <cfRule type="containsText" dxfId="891" priority="1724" operator="containsText" text="75">
      <formula>NOT(ISERROR(SEARCH("75",E125)))</formula>
    </cfRule>
    <cfRule type="containsText" dxfId="890" priority="1723" operator="containsText" text="100">
      <formula>NOT(ISERROR(SEARCH("100",E125)))</formula>
    </cfRule>
    <cfRule type="containsText" dxfId="889" priority="1722" operator="containsText" text="50">
      <formula>NOT(ISERROR(SEARCH("50",E125)))</formula>
    </cfRule>
    <cfRule type="containsText" dxfId="888" priority="1721" operator="containsText" text="25">
      <formula>NOT(ISERROR(SEARCH("25",E125)))</formula>
    </cfRule>
  </conditionalFormatting>
  <conditionalFormatting sqref="E131:E133">
    <cfRule type="containsText" dxfId="887" priority="1720" operator="containsText" text="75">
      <formula>NOT(ISERROR(SEARCH("75",E131)))</formula>
    </cfRule>
    <cfRule type="containsText" dxfId="886" priority="1719" operator="containsText" text="100">
      <formula>NOT(ISERROR(SEARCH("100",E131)))</formula>
    </cfRule>
    <cfRule type="containsText" dxfId="885" priority="1718" operator="containsText" text="50">
      <formula>NOT(ISERROR(SEARCH("50",E131)))</formula>
    </cfRule>
    <cfRule type="containsText" dxfId="884" priority="1717" operator="containsText" text="25">
      <formula>NOT(ISERROR(SEARCH("25",E131)))</formula>
    </cfRule>
  </conditionalFormatting>
  <conditionalFormatting sqref="E137:E138">
    <cfRule type="containsText" dxfId="883" priority="1716" operator="containsText" text="75">
      <formula>NOT(ISERROR(SEARCH("75",E137)))</formula>
    </cfRule>
    <cfRule type="containsText" dxfId="882" priority="1715" operator="containsText" text="100">
      <formula>NOT(ISERROR(SEARCH("100",E137)))</formula>
    </cfRule>
    <cfRule type="containsText" dxfId="881" priority="1714" operator="containsText" text="50">
      <formula>NOT(ISERROR(SEARCH("50",E137)))</formula>
    </cfRule>
    <cfRule type="containsText" dxfId="880" priority="1713" operator="containsText" text="25">
      <formula>NOT(ISERROR(SEARCH("25",E137)))</formula>
    </cfRule>
  </conditionalFormatting>
  <conditionalFormatting sqref="E143:E144">
    <cfRule type="containsText" dxfId="879" priority="1711" operator="containsText" text="100">
      <formula>NOT(ISERROR(SEARCH("100",E143)))</formula>
    </cfRule>
    <cfRule type="containsText" dxfId="878" priority="1710" operator="containsText" text="50">
      <formula>NOT(ISERROR(SEARCH("50",E143)))</formula>
    </cfRule>
    <cfRule type="containsText" dxfId="877" priority="1712" operator="containsText" text="75">
      <formula>NOT(ISERROR(SEARCH("75",E143)))</formula>
    </cfRule>
    <cfRule type="containsText" dxfId="876" priority="1709" operator="containsText" text="25">
      <formula>NOT(ISERROR(SEARCH("25",E143)))</formula>
    </cfRule>
  </conditionalFormatting>
  <conditionalFormatting sqref="E149:E150">
    <cfRule type="containsText" dxfId="875" priority="1639" operator="containsText" text="100">
      <formula>NOT(ISERROR(SEARCH("100",E149)))</formula>
    </cfRule>
    <cfRule type="containsText" dxfId="874" priority="1638" operator="containsText" text="50">
      <formula>NOT(ISERROR(SEARCH("50",E149)))</formula>
    </cfRule>
    <cfRule type="containsText" dxfId="873" priority="1637" operator="containsText" text="25">
      <formula>NOT(ISERROR(SEARCH("25",E149)))</formula>
    </cfRule>
    <cfRule type="containsText" dxfId="872" priority="1640" operator="containsText" text="75">
      <formula>NOT(ISERROR(SEARCH("75",E149)))</formula>
    </cfRule>
  </conditionalFormatting>
  <conditionalFormatting sqref="E155:E156">
    <cfRule type="containsText" dxfId="871" priority="1644" operator="containsText" text="75">
      <formula>NOT(ISERROR(SEARCH("75",E155)))</formula>
    </cfRule>
    <cfRule type="containsText" dxfId="870" priority="1643" operator="containsText" text="100">
      <formula>NOT(ISERROR(SEARCH("100",E155)))</formula>
    </cfRule>
    <cfRule type="containsText" dxfId="869" priority="1642" operator="containsText" text="50">
      <formula>NOT(ISERROR(SEARCH("50",E155)))</formula>
    </cfRule>
    <cfRule type="containsText" dxfId="868" priority="1641" operator="containsText" text="25">
      <formula>NOT(ISERROR(SEARCH("25",E155)))</formula>
    </cfRule>
  </conditionalFormatting>
  <conditionalFormatting sqref="E161:E162">
    <cfRule type="containsText" dxfId="867" priority="1645" operator="containsText" text="25">
      <formula>NOT(ISERROR(SEARCH("25",E161)))</formula>
    </cfRule>
    <cfRule type="containsText" dxfId="866" priority="1646" operator="containsText" text="50">
      <formula>NOT(ISERROR(SEARCH("50",E161)))</formula>
    </cfRule>
    <cfRule type="containsText" dxfId="865" priority="1647" operator="containsText" text="100">
      <formula>NOT(ISERROR(SEARCH("100",E161)))</formula>
    </cfRule>
    <cfRule type="containsText" dxfId="864" priority="1648" operator="containsText" text="75">
      <formula>NOT(ISERROR(SEARCH("75",E161)))</formula>
    </cfRule>
  </conditionalFormatting>
  <conditionalFormatting sqref="E167:E168">
    <cfRule type="containsText" dxfId="863" priority="1649" operator="containsText" text="25">
      <formula>NOT(ISERROR(SEARCH("25",E167)))</formula>
    </cfRule>
    <cfRule type="containsText" dxfId="862" priority="1650" operator="containsText" text="50">
      <formula>NOT(ISERROR(SEARCH("50",E167)))</formula>
    </cfRule>
    <cfRule type="containsText" dxfId="861" priority="1651" operator="containsText" text="100">
      <formula>NOT(ISERROR(SEARCH("100",E167)))</formula>
    </cfRule>
    <cfRule type="containsText" dxfId="860" priority="1652" operator="containsText" text="75">
      <formula>NOT(ISERROR(SEARCH("75",E167)))</formula>
    </cfRule>
  </conditionalFormatting>
  <conditionalFormatting sqref="E173:E174">
    <cfRule type="containsText" dxfId="859" priority="1655" operator="containsText" text="100">
      <formula>NOT(ISERROR(SEARCH("100",E173)))</formula>
    </cfRule>
    <cfRule type="containsText" dxfId="858" priority="1656" operator="containsText" text="75">
      <formula>NOT(ISERROR(SEARCH("75",E173)))</formula>
    </cfRule>
    <cfRule type="containsText" dxfId="857" priority="1653" operator="containsText" text="25">
      <formula>NOT(ISERROR(SEARCH("25",E173)))</formula>
    </cfRule>
    <cfRule type="containsText" dxfId="856" priority="1654" operator="containsText" text="50">
      <formula>NOT(ISERROR(SEARCH("50",E173)))</formula>
    </cfRule>
  </conditionalFormatting>
  <conditionalFormatting sqref="E179:E180">
    <cfRule type="containsText" dxfId="855" priority="1660" operator="containsText" text="75">
      <formula>NOT(ISERROR(SEARCH("75",E179)))</formula>
    </cfRule>
    <cfRule type="containsText" dxfId="854" priority="1657" operator="containsText" text="25">
      <formula>NOT(ISERROR(SEARCH("25",E179)))</formula>
    </cfRule>
    <cfRule type="containsText" dxfId="853" priority="1659" operator="containsText" text="100">
      <formula>NOT(ISERROR(SEARCH("100",E179)))</formula>
    </cfRule>
    <cfRule type="containsText" dxfId="852" priority="1658" operator="containsText" text="50">
      <formula>NOT(ISERROR(SEARCH("50",E179)))</formula>
    </cfRule>
  </conditionalFormatting>
  <conditionalFormatting sqref="E185:E186">
    <cfRule type="containsText" dxfId="851" priority="1661" operator="containsText" text="25">
      <formula>NOT(ISERROR(SEARCH("25",E185)))</formula>
    </cfRule>
    <cfRule type="containsText" dxfId="850" priority="1664" operator="containsText" text="75">
      <formula>NOT(ISERROR(SEARCH("75",E185)))</formula>
    </cfRule>
    <cfRule type="containsText" dxfId="849" priority="1663" operator="containsText" text="100">
      <formula>NOT(ISERROR(SEARCH("100",E185)))</formula>
    </cfRule>
    <cfRule type="containsText" dxfId="848" priority="1662" operator="containsText" text="50">
      <formula>NOT(ISERROR(SEARCH("50",E185)))</formula>
    </cfRule>
  </conditionalFormatting>
  <conditionalFormatting sqref="E191:E192">
    <cfRule type="containsText" dxfId="847" priority="1665" operator="containsText" text="25">
      <formula>NOT(ISERROR(SEARCH("25",E191)))</formula>
    </cfRule>
    <cfRule type="containsText" dxfId="846" priority="1667" operator="containsText" text="100">
      <formula>NOT(ISERROR(SEARCH("100",E191)))</formula>
    </cfRule>
    <cfRule type="containsText" dxfId="845" priority="1668" operator="containsText" text="75">
      <formula>NOT(ISERROR(SEARCH("75",E191)))</formula>
    </cfRule>
    <cfRule type="containsText" dxfId="844" priority="1666" operator="containsText" text="50">
      <formula>NOT(ISERROR(SEARCH("50",E191)))</formula>
    </cfRule>
  </conditionalFormatting>
  <conditionalFormatting sqref="E197:E198">
    <cfRule type="containsText" dxfId="843" priority="1780" operator="containsText" text="75">
      <formula>NOT(ISERROR(SEARCH("75",E197)))</formula>
    </cfRule>
    <cfRule type="containsText" dxfId="842" priority="1778" operator="containsText" text="50">
      <formula>NOT(ISERROR(SEARCH("50",E197)))</formula>
    </cfRule>
    <cfRule type="containsText" dxfId="841" priority="1777" operator="containsText" text="25">
      <formula>NOT(ISERROR(SEARCH("25",E197)))</formula>
    </cfRule>
    <cfRule type="containsText" dxfId="840" priority="1779" operator="containsText" text="100">
      <formula>NOT(ISERROR(SEARCH("100",E197)))</formula>
    </cfRule>
  </conditionalFormatting>
  <conditionalFormatting sqref="E202">
    <cfRule type="containsText" dxfId="839" priority="1889" operator="containsText" text="25">
      <formula>NOT(ISERROR(SEARCH("25",E202)))</formula>
    </cfRule>
    <cfRule type="containsText" dxfId="838" priority="1890" operator="containsText" text="50">
      <formula>NOT(ISERROR(SEARCH("50",E202)))</formula>
    </cfRule>
    <cfRule type="containsText" dxfId="837" priority="1892" operator="containsText" text="75">
      <formula>NOT(ISERROR(SEARCH("75",E202)))</formula>
    </cfRule>
    <cfRule type="containsText" dxfId="836" priority="1891" operator="containsText" text="100">
      <formula>NOT(ISERROR(SEARCH("100",E202)))</formula>
    </cfRule>
  </conditionalFormatting>
  <conditionalFormatting sqref="E118:J118">
    <cfRule type="containsText" dxfId="835" priority="1517" operator="containsText" text="25">
      <formula>NOT(ISERROR(SEARCH("25",E118)))</formula>
    </cfRule>
    <cfRule type="containsText" dxfId="834" priority="1518" operator="containsText" text="50">
      <formula>NOT(ISERROR(SEARCH("50",E118)))</formula>
    </cfRule>
    <cfRule type="containsText" dxfId="833" priority="1520" operator="containsText" text="75">
      <formula>NOT(ISERROR(SEARCH("75",E118)))</formula>
    </cfRule>
    <cfRule type="containsText" dxfId="832" priority="1519" operator="containsText" text="100">
      <formula>NOT(ISERROR(SEARCH("100",E118)))</formula>
    </cfRule>
  </conditionalFormatting>
  <conditionalFormatting sqref="E124:J124">
    <cfRule type="containsText" dxfId="831" priority="1510" operator="containsText" text="50">
      <formula>NOT(ISERROR(SEARCH("50",E124)))</formula>
    </cfRule>
    <cfRule type="containsText" dxfId="830" priority="1512" operator="containsText" text="75">
      <formula>NOT(ISERROR(SEARCH("75",E124)))</formula>
    </cfRule>
    <cfRule type="containsText" dxfId="829" priority="1511" operator="containsText" text="100">
      <formula>NOT(ISERROR(SEARCH("100",E124)))</formula>
    </cfRule>
    <cfRule type="containsText" dxfId="828" priority="1509" operator="containsText" text="25">
      <formula>NOT(ISERROR(SEARCH("25",E124)))</formula>
    </cfRule>
  </conditionalFormatting>
  <conditionalFormatting sqref="E130:J130">
    <cfRule type="containsText" dxfId="827" priority="1502" operator="containsText" text="50">
      <formula>NOT(ISERROR(SEARCH("50",E130)))</formula>
    </cfRule>
    <cfRule type="containsText" dxfId="826" priority="1501" operator="containsText" text="25">
      <formula>NOT(ISERROR(SEARCH("25",E130)))</formula>
    </cfRule>
    <cfRule type="containsText" dxfId="825" priority="1503" operator="containsText" text="100">
      <formula>NOT(ISERROR(SEARCH("100",E130)))</formula>
    </cfRule>
    <cfRule type="containsText" dxfId="824" priority="1504" operator="containsText" text="75">
      <formula>NOT(ISERROR(SEARCH("75",E130)))</formula>
    </cfRule>
  </conditionalFormatting>
  <conditionalFormatting sqref="E136:J136">
    <cfRule type="containsText" dxfId="823" priority="1493" operator="containsText" text="25">
      <formula>NOT(ISERROR(SEARCH("25",E136)))</formula>
    </cfRule>
    <cfRule type="containsText" dxfId="822" priority="1494" operator="containsText" text="50">
      <formula>NOT(ISERROR(SEARCH("50",E136)))</formula>
    </cfRule>
    <cfRule type="containsText" dxfId="821" priority="1495" operator="containsText" text="100">
      <formula>NOT(ISERROR(SEARCH("100",E136)))</formula>
    </cfRule>
    <cfRule type="containsText" dxfId="820" priority="1496" operator="containsText" text="75">
      <formula>NOT(ISERROR(SEARCH("75",E136)))</formula>
    </cfRule>
  </conditionalFormatting>
  <conditionalFormatting sqref="E148:J148">
    <cfRule type="containsText" dxfId="819" priority="1477" operator="containsText" text="25">
      <formula>NOT(ISERROR(SEARCH("25",E148)))</formula>
    </cfRule>
    <cfRule type="containsText" dxfId="818" priority="1478" operator="containsText" text="50">
      <formula>NOT(ISERROR(SEARCH("50",E148)))</formula>
    </cfRule>
    <cfRule type="containsText" dxfId="817" priority="1479" operator="containsText" text="100">
      <formula>NOT(ISERROR(SEARCH("100",E148)))</formula>
    </cfRule>
    <cfRule type="containsText" dxfId="816" priority="1480" operator="containsText" text="75">
      <formula>NOT(ISERROR(SEARCH("75",E148)))</formula>
    </cfRule>
  </conditionalFormatting>
  <conditionalFormatting sqref="E154:J154">
    <cfRule type="containsText" dxfId="815" priority="1469" operator="containsText" text="25">
      <formula>NOT(ISERROR(SEARCH("25",E154)))</formula>
    </cfRule>
    <cfRule type="containsText" dxfId="814" priority="1470" operator="containsText" text="50">
      <formula>NOT(ISERROR(SEARCH("50",E154)))</formula>
    </cfRule>
    <cfRule type="containsText" dxfId="813" priority="1471" operator="containsText" text="100">
      <formula>NOT(ISERROR(SEARCH("100",E154)))</formula>
    </cfRule>
    <cfRule type="containsText" dxfId="812" priority="1472" operator="containsText" text="75">
      <formula>NOT(ISERROR(SEARCH("75",E154)))</formula>
    </cfRule>
  </conditionalFormatting>
  <conditionalFormatting sqref="E160:J160">
    <cfRule type="containsText" dxfId="811" priority="1461" operator="containsText" text="25">
      <formula>NOT(ISERROR(SEARCH("25",E160)))</formula>
    </cfRule>
    <cfRule type="containsText" dxfId="810" priority="1462" operator="containsText" text="50">
      <formula>NOT(ISERROR(SEARCH("50",E160)))</formula>
    </cfRule>
    <cfRule type="containsText" dxfId="809" priority="1463" operator="containsText" text="100">
      <formula>NOT(ISERROR(SEARCH("100",E160)))</formula>
    </cfRule>
    <cfRule type="containsText" dxfId="808" priority="1464" operator="containsText" text="75">
      <formula>NOT(ISERROR(SEARCH("75",E160)))</formula>
    </cfRule>
  </conditionalFormatting>
  <conditionalFormatting sqref="E166:J166">
    <cfRule type="containsText" dxfId="807" priority="1454" operator="containsText" text="50">
      <formula>NOT(ISERROR(SEARCH("50",E166)))</formula>
    </cfRule>
    <cfRule type="containsText" dxfId="806" priority="1456" operator="containsText" text="75">
      <formula>NOT(ISERROR(SEARCH("75",E166)))</formula>
    </cfRule>
    <cfRule type="containsText" dxfId="805" priority="1455" operator="containsText" text="100">
      <formula>NOT(ISERROR(SEARCH("100",E166)))</formula>
    </cfRule>
    <cfRule type="containsText" dxfId="804" priority="1453" operator="containsText" text="25">
      <formula>NOT(ISERROR(SEARCH("25",E166)))</formula>
    </cfRule>
  </conditionalFormatting>
  <conditionalFormatting sqref="E178:J178">
    <cfRule type="containsText" dxfId="803" priority="1439" operator="containsText" text="100">
      <formula>NOT(ISERROR(SEARCH("100",E178)))</formula>
    </cfRule>
    <cfRule type="containsText" dxfId="802" priority="1437" operator="containsText" text="25">
      <formula>NOT(ISERROR(SEARCH("25",E178)))</formula>
    </cfRule>
    <cfRule type="containsText" dxfId="801" priority="1438" operator="containsText" text="50">
      <formula>NOT(ISERROR(SEARCH("50",E178)))</formula>
    </cfRule>
    <cfRule type="containsText" dxfId="800" priority="1440" operator="containsText" text="75">
      <formula>NOT(ISERROR(SEARCH("75",E178)))</formula>
    </cfRule>
  </conditionalFormatting>
  <conditionalFormatting sqref="E184:J184">
    <cfRule type="containsText" dxfId="799" priority="1429" operator="containsText" text="25">
      <formula>NOT(ISERROR(SEARCH("25",E184)))</formula>
    </cfRule>
    <cfRule type="containsText" dxfId="798" priority="1431" operator="containsText" text="100">
      <formula>NOT(ISERROR(SEARCH("100",E184)))</formula>
    </cfRule>
    <cfRule type="containsText" dxfId="797" priority="1432" operator="containsText" text="75">
      <formula>NOT(ISERROR(SEARCH("75",E184)))</formula>
    </cfRule>
    <cfRule type="containsText" dxfId="796" priority="1430" operator="containsText" text="50">
      <formula>NOT(ISERROR(SEARCH("50",E184)))</formula>
    </cfRule>
  </conditionalFormatting>
  <conditionalFormatting sqref="E190:J190">
    <cfRule type="containsText" dxfId="795" priority="1424" operator="containsText" text="75">
      <formula>NOT(ISERROR(SEARCH("75",E190)))</formula>
    </cfRule>
    <cfRule type="containsText" dxfId="794" priority="1423" operator="containsText" text="100">
      <formula>NOT(ISERROR(SEARCH("100",E190)))</formula>
    </cfRule>
    <cfRule type="containsText" dxfId="793" priority="1421" operator="containsText" text="25">
      <formula>NOT(ISERROR(SEARCH("25",E190)))</formula>
    </cfRule>
    <cfRule type="containsText" dxfId="792" priority="1422" operator="containsText" text="50">
      <formula>NOT(ISERROR(SEARCH("50",E190)))</formula>
    </cfRule>
  </conditionalFormatting>
  <conditionalFormatting sqref="E196:J196">
    <cfRule type="containsText" dxfId="791" priority="1414" operator="containsText" text="50">
      <formula>NOT(ISERROR(SEARCH("50",E196)))</formula>
    </cfRule>
    <cfRule type="containsText" dxfId="790" priority="1415" operator="containsText" text="100">
      <formula>NOT(ISERROR(SEARCH("100",E196)))</formula>
    </cfRule>
    <cfRule type="containsText" dxfId="789" priority="1416" operator="containsText" text="75">
      <formula>NOT(ISERROR(SEARCH("75",E196)))</formula>
    </cfRule>
    <cfRule type="containsText" dxfId="788" priority="1413" operator="containsText" text="25">
      <formula>NOT(ISERROR(SEARCH("25",E196)))</formula>
    </cfRule>
  </conditionalFormatting>
  <conditionalFormatting sqref="E172:K172">
    <cfRule type="containsText" dxfId="787" priority="928" operator="containsText" text="75">
      <formula>NOT(ISERROR(SEARCH("75",E172)))</formula>
    </cfRule>
    <cfRule type="containsText" dxfId="786" priority="927" operator="containsText" text="100">
      <formula>NOT(ISERROR(SEARCH("100",E172)))</formula>
    </cfRule>
    <cfRule type="containsText" dxfId="785" priority="925" operator="containsText" text="25">
      <formula>NOT(ISERROR(SEARCH("25",E172)))</formula>
    </cfRule>
    <cfRule type="containsText" dxfId="784" priority="926" operator="containsText" text="50">
      <formula>NOT(ISERROR(SEARCH("50",E172)))</formula>
    </cfRule>
  </conditionalFormatting>
  <conditionalFormatting sqref="F119">
    <cfRule type="containsText" dxfId="783" priority="1741" operator="containsText" text="25">
      <formula>NOT(ISERROR(SEARCH("25",F119)))</formula>
    </cfRule>
    <cfRule type="containsText" dxfId="782" priority="1742" operator="containsText" text="50">
      <formula>NOT(ISERROR(SEARCH("50",F119)))</formula>
    </cfRule>
    <cfRule type="containsText" dxfId="781" priority="1743" operator="containsText" text="100">
      <formula>NOT(ISERROR(SEARCH("100",F119)))</formula>
    </cfRule>
    <cfRule type="containsText" dxfId="780" priority="1744" operator="containsText" text="75">
      <formula>NOT(ISERROR(SEARCH("75",F119)))</formula>
    </cfRule>
  </conditionalFormatting>
  <conditionalFormatting sqref="F202:F203">
    <cfRule type="containsText" dxfId="779" priority="1885" operator="containsText" text="25">
      <formula>NOT(ISERROR(SEARCH("25",F202)))</formula>
    </cfRule>
    <cfRule type="containsText" dxfId="778" priority="1886" operator="containsText" text="50">
      <formula>NOT(ISERROR(SEARCH("50",F202)))</formula>
    </cfRule>
    <cfRule type="containsText" dxfId="777" priority="1887" operator="containsText" text="100">
      <formula>NOT(ISERROR(SEARCH("100",F202)))</formula>
    </cfRule>
    <cfRule type="containsText" dxfId="776" priority="1888" operator="containsText" text="75">
      <formula>NOT(ISERROR(SEARCH("75",F202)))</formula>
    </cfRule>
  </conditionalFormatting>
  <conditionalFormatting sqref="F137:H137">
    <cfRule type="containsText" dxfId="775" priority="1230" operator="containsText" text="50">
      <formula>NOT(ISERROR(SEARCH("50",F137)))</formula>
    </cfRule>
    <cfRule type="containsText" dxfId="774" priority="1229" operator="containsText" text="25">
      <formula>NOT(ISERROR(SEARCH("25",F137)))</formula>
    </cfRule>
    <cfRule type="containsText" dxfId="773" priority="1232" operator="containsText" text="75">
      <formula>NOT(ISERROR(SEARCH("75",F137)))</formula>
    </cfRule>
    <cfRule type="containsText" dxfId="772" priority="1231" operator="containsText" text="100">
      <formula>NOT(ISERROR(SEARCH("100",F137)))</formula>
    </cfRule>
  </conditionalFormatting>
  <conditionalFormatting sqref="F143:H143">
    <cfRule type="containsText" dxfId="771" priority="1228" operator="containsText" text="75">
      <formula>NOT(ISERROR(SEARCH("75",F143)))</formula>
    </cfRule>
    <cfRule type="containsText" dxfId="770" priority="1227" operator="containsText" text="100">
      <formula>NOT(ISERROR(SEARCH("100",F143)))</formula>
    </cfRule>
    <cfRule type="containsText" dxfId="769" priority="1226" operator="containsText" text="50">
      <formula>NOT(ISERROR(SEARCH("50",F143)))</formula>
    </cfRule>
    <cfRule type="containsText" dxfId="768" priority="1225" operator="containsText" text="25">
      <formula>NOT(ISERROR(SEARCH("25",F143)))</formula>
    </cfRule>
  </conditionalFormatting>
  <conditionalFormatting sqref="F149:H149">
    <cfRule type="containsText" dxfId="767" priority="1223" operator="containsText" text="100">
      <formula>NOT(ISERROR(SEARCH("100",F149)))</formula>
    </cfRule>
    <cfRule type="containsText" dxfId="766" priority="1222" operator="containsText" text="50">
      <formula>NOT(ISERROR(SEARCH("50",F149)))</formula>
    </cfRule>
    <cfRule type="containsText" dxfId="765" priority="1221" operator="containsText" text="25">
      <formula>NOT(ISERROR(SEARCH("25",F149)))</formula>
    </cfRule>
    <cfRule type="containsText" dxfId="764" priority="1224" operator="containsText" text="75">
      <formula>NOT(ISERROR(SEARCH("75",F149)))</formula>
    </cfRule>
  </conditionalFormatting>
  <conditionalFormatting sqref="F155:H155">
    <cfRule type="containsText" dxfId="763" priority="1217" operator="containsText" text="25">
      <formula>NOT(ISERROR(SEARCH("25",F155)))</formula>
    </cfRule>
    <cfRule type="containsText" dxfId="762" priority="1220" operator="containsText" text="75">
      <formula>NOT(ISERROR(SEARCH("75",F155)))</formula>
    </cfRule>
    <cfRule type="containsText" dxfId="761" priority="1219" operator="containsText" text="100">
      <formula>NOT(ISERROR(SEARCH("100",F155)))</formula>
    </cfRule>
    <cfRule type="containsText" dxfId="760" priority="1218" operator="containsText" text="50">
      <formula>NOT(ISERROR(SEARCH("50",F155)))</formula>
    </cfRule>
  </conditionalFormatting>
  <conditionalFormatting sqref="F173:H173">
    <cfRule type="containsText" dxfId="759" priority="1205" operator="containsText" text="25">
      <formula>NOT(ISERROR(SEARCH("25",F173)))</formula>
    </cfRule>
    <cfRule type="containsText" dxfId="758" priority="1207" operator="containsText" text="100">
      <formula>NOT(ISERROR(SEARCH("100",F173)))</formula>
    </cfRule>
    <cfRule type="containsText" dxfId="757" priority="1208" operator="containsText" text="75">
      <formula>NOT(ISERROR(SEARCH("75",F173)))</formula>
    </cfRule>
    <cfRule type="containsText" dxfId="756" priority="1206" operator="containsText" text="50">
      <formula>NOT(ISERROR(SEARCH("50",F173)))</formula>
    </cfRule>
  </conditionalFormatting>
  <conditionalFormatting sqref="F185:H185">
    <cfRule type="containsText" dxfId="755" priority="1197" operator="containsText" text="25">
      <formula>NOT(ISERROR(SEARCH("25",F185)))</formula>
    </cfRule>
    <cfRule type="containsText" dxfId="754" priority="1199" operator="containsText" text="100">
      <formula>NOT(ISERROR(SEARCH("100",F185)))</formula>
    </cfRule>
    <cfRule type="containsText" dxfId="753" priority="1198" operator="containsText" text="50">
      <formula>NOT(ISERROR(SEARCH("50",F185)))</formula>
    </cfRule>
    <cfRule type="containsText" dxfId="752" priority="1200" operator="containsText" text="75">
      <formula>NOT(ISERROR(SEARCH("75",F185)))</formula>
    </cfRule>
  </conditionalFormatting>
  <conditionalFormatting sqref="F191:H191">
    <cfRule type="containsText" dxfId="751" priority="1194" operator="containsText" text="50">
      <formula>NOT(ISERROR(SEARCH("50",F191)))</formula>
    </cfRule>
    <cfRule type="containsText" dxfId="750" priority="1195" operator="containsText" text="100">
      <formula>NOT(ISERROR(SEARCH("100",F191)))</formula>
    </cfRule>
    <cfRule type="containsText" dxfId="749" priority="1196" operator="containsText" text="75">
      <formula>NOT(ISERROR(SEARCH("75",F191)))</formula>
    </cfRule>
    <cfRule type="containsText" dxfId="748" priority="1193" operator="containsText" text="25">
      <formula>NOT(ISERROR(SEARCH("25",F191)))</formula>
    </cfRule>
  </conditionalFormatting>
  <conditionalFormatting sqref="F125:J125">
    <cfRule type="containsText" dxfId="747" priority="1239" operator="containsText" text="100">
      <formula>NOT(ISERROR(SEARCH("100",F125)))</formula>
    </cfRule>
    <cfRule type="containsText" dxfId="746" priority="1237" operator="containsText" text="25">
      <formula>NOT(ISERROR(SEARCH("25",F125)))</formula>
    </cfRule>
    <cfRule type="containsText" dxfId="745" priority="1240" operator="containsText" text="75">
      <formula>NOT(ISERROR(SEARCH("75",F125)))</formula>
    </cfRule>
    <cfRule type="containsText" dxfId="744" priority="1238" operator="containsText" text="50">
      <formula>NOT(ISERROR(SEARCH("50",F125)))</formula>
    </cfRule>
  </conditionalFormatting>
  <conditionalFormatting sqref="F131:J131">
    <cfRule type="containsText" dxfId="743" priority="1236" operator="containsText" text="75">
      <formula>NOT(ISERROR(SEARCH("75",F131)))</formula>
    </cfRule>
    <cfRule type="containsText" dxfId="742" priority="1235" operator="containsText" text="100">
      <formula>NOT(ISERROR(SEARCH("100",F131)))</formula>
    </cfRule>
    <cfRule type="containsText" dxfId="741" priority="1234" operator="containsText" text="50">
      <formula>NOT(ISERROR(SEARCH("50",F131)))</formula>
    </cfRule>
    <cfRule type="containsText" dxfId="740" priority="1233" operator="containsText" text="25">
      <formula>NOT(ISERROR(SEARCH("25",F131)))</formula>
    </cfRule>
  </conditionalFormatting>
  <conditionalFormatting sqref="F197:J197">
    <cfRule type="containsText" dxfId="739" priority="1189" operator="containsText" text="25">
      <formula>NOT(ISERROR(SEARCH("25",F197)))</formula>
    </cfRule>
    <cfRule type="containsText" dxfId="738" priority="1190" operator="containsText" text="50">
      <formula>NOT(ISERROR(SEARCH("50",F197)))</formula>
    </cfRule>
    <cfRule type="containsText" dxfId="737" priority="1191" operator="containsText" text="100">
      <formula>NOT(ISERROR(SEARCH("100",F197)))</formula>
    </cfRule>
    <cfRule type="containsText" dxfId="736" priority="1192" operator="containsText" text="75">
      <formula>NOT(ISERROR(SEARCH("75",F197)))</formula>
    </cfRule>
  </conditionalFormatting>
  <conditionalFormatting sqref="F161:K161">
    <cfRule type="containsText" dxfId="735" priority="940" operator="containsText" text="75">
      <formula>NOT(ISERROR(SEARCH("75",F161)))</formula>
    </cfRule>
    <cfRule type="containsText" dxfId="734" priority="939" operator="containsText" text="100">
      <formula>NOT(ISERROR(SEARCH("100",F161)))</formula>
    </cfRule>
    <cfRule type="containsText" dxfId="733" priority="938" operator="containsText" text="50">
      <formula>NOT(ISERROR(SEARCH("50",F161)))</formula>
    </cfRule>
    <cfRule type="containsText" dxfId="732" priority="937" operator="containsText" text="25">
      <formula>NOT(ISERROR(SEARCH("25",F161)))</formula>
    </cfRule>
  </conditionalFormatting>
  <conditionalFormatting sqref="F167:K167">
    <cfRule type="containsText" dxfId="731" priority="929" operator="containsText" text="25">
      <formula>NOT(ISERROR(SEARCH("25",F167)))</formula>
    </cfRule>
    <cfRule type="containsText" dxfId="730" priority="930" operator="containsText" text="50">
      <formula>NOT(ISERROR(SEARCH("50",F167)))</formula>
    </cfRule>
    <cfRule type="containsText" dxfId="729" priority="932" operator="containsText" text="75">
      <formula>NOT(ISERROR(SEARCH("75",F167)))</formula>
    </cfRule>
    <cfRule type="containsText" dxfId="728" priority="931" operator="containsText" text="100">
      <formula>NOT(ISERROR(SEARCH("100",F167)))</formula>
    </cfRule>
  </conditionalFormatting>
  <conditionalFormatting sqref="F179:K179">
    <cfRule type="containsText" dxfId="727" priority="917" operator="containsText" text="25">
      <formula>NOT(ISERROR(SEARCH("25",F179)))</formula>
    </cfRule>
    <cfRule type="containsText" dxfId="726" priority="918" operator="containsText" text="50">
      <formula>NOT(ISERROR(SEARCH("50",F179)))</formula>
    </cfRule>
    <cfRule type="containsText" dxfId="725" priority="919" operator="containsText" text="100">
      <formula>NOT(ISERROR(SEARCH("100",F179)))</formula>
    </cfRule>
    <cfRule type="containsText" dxfId="724" priority="920" operator="containsText" text="75">
      <formula>NOT(ISERROR(SEARCH("75",F179)))</formula>
    </cfRule>
  </conditionalFormatting>
  <conditionalFormatting sqref="G119:G121">
    <cfRule type="containsText" dxfId="723" priority="1013" operator="containsText" text="25">
      <formula>NOT(ISERROR(SEARCH("25",G119)))</formula>
    </cfRule>
    <cfRule type="containsText" dxfId="722" priority="1014" operator="containsText" text="50">
      <formula>NOT(ISERROR(SEARCH("50",G119)))</formula>
    </cfRule>
  </conditionalFormatting>
  <conditionalFormatting sqref="G120:G121">
    <cfRule type="containsText" dxfId="721" priority="1015" operator="containsText" text="100">
      <formula>NOT(ISERROR(SEARCH("100",G120)))</formula>
    </cfRule>
    <cfRule type="containsText" dxfId="720" priority="1016" operator="containsText" text="75">
      <formula>NOT(ISERROR(SEARCH("75",G120)))</formula>
    </cfRule>
  </conditionalFormatting>
  <conditionalFormatting sqref="G169">
    <cfRule type="containsText" dxfId="719" priority="1145" operator="containsText" text="25">
      <formula>NOT(ISERROR(SEARCH("25",G169)))</formula>
    </cfRule>
    <cfRule type="containsText" dxfId="718" priority="1146" operator="containsText" text="50">
      <formula>NOT(ISERROR(SEARCH("50",G169)))</formula>
    </cfRule>
    <cfRule type="containsText" dxfId="717" priority="1147" operator="containsText" text="100">
      <formula>NOT(ISERROR(SEARCH("100",G169)))</formula>
    </cfRule>
    <cfRule type="containsText" dxfId="716" priority="1148" operator="containsText" text="75">
      <formula>NOT(ISERROR(SEARCH("75",G169)))</formula>
    </cfRule>
  </conditionalFormatting>
  <conditionalFormatting sqref="G175">
    <cfRule type="containsText" dxfId="715" priority="1153" operator="containsText" text="25">
      <formula>NOT(ISERROR(SEARCH("25",G175)))</formula>
    </cfRule>
    <cfRule type="containsText" dxfId="714" priority="1154" operator="containsText" text="50">
      <formula>NOT(ISERROR(SEARCH("50",G175)))</formula>
    </cfRule>
    <cfRule type="containsText" dxfId="713" priority="1155" operator="containsText" text="100">
      <formula>NOT(ISERROR(SEARCH("100",G175)))</formula>
    </cfRule>
    <cfRule type="containsText" dxfId="712" priority="1156" operator="containsText" text="75">
      <formula>NOT(ISERROR(SEARCH("75",G175)))</formula>
    </cfRule>
  </conditionalFormatting>
  <conditionalFormatting sqref="G181">
    <cfRule type="containsText" dxfId="711" priority="1168" operator="containsText" text="75">
      <formula>NOT(ISERROR(SEARCH("75",G181)))</formula>
    </cfRule>
    <cfRule type="containsText" dxfId="710" priority="1167" operator="containsText" text="100">
      <formula>NOT(ISERROR(SEARCH("100",G181)))</formula>
    </cfRule>
    <cfRule type="containsText" dxfId="709" priority="1165" operator="containsText" text="25">
      <formula>NOT(ISERROR(SEARCH("25",G181)))</formula>
    </cfRule>
    <cfRule type="containsText" dxfId="708" priority="1166" operator="containsText" text="50">
      <formula>NOT(ISERROR(SEARCH("50",G181)))</formula>
    </cfRule>
  </conditionalFormatting>
  <conditionalFormatting sqref="G187">
    <cfRule type="containsText" dxfId="707" priority="1164" operator="containsText" text="75">
      <formula>NOT(ISERROR(SEARCH("75",G187)))</formula>
    </cfRule>
    <cfRule type="containsText" dxfId="706" priority="1163" operator="containsText" text="100">
      <formula>NOT(ISERROR(SEARCH("100",G187)))</formula>
    </cfRule>
    <cfRule type="containsText" dxfId="705" priority="1162" operator="containsText" text="50">
      <formula>NOT(ISERROR(SEARCH("50",G187)))</formula>
    </cfRule>
    <cfRule type="containsText" dxfId="704" priority="1161" operator="containsText" text="25">
      <formula>NOT(ISERROR(SEARCH("25",G187)))</formula>
    </cfRule>
  </conditionalFormatting>
  <conditionalFormatting sqref="G193">
    <cfRule type="containsText" dxfId="703" priority="1177" operator="containsText" text="25">
      <formula>NOT(ISERROR(SEARCH("25",G193)))</formula>
    </cfRule>
    <cfRule type="containsText" dxfId="702" priority="1180" operator="containsText" text="75">
      <formula>NOT(ISERROR(SEARCH("75",G193)))</formula>
    </cfRule>
    <cfRule type="containsText" dxfId="701" priority="1179" operator="containsText" text="100">
      <formula>NOT(ISERROR(SEARCH("100",G193)))</formula>
    </cfRule>
    <cfRule type="containsText" dxfId="700" priority="1178" operator="containsText" text="50">
      <formula>NOT(ISERROR(SEARCH("50",G193)))</formula>
    </cfRule>
  </conditionalFormatting>
  <conditionalFormatting sqref="G199">
    <cfRule type="containsText" dxfId="699" priority="1185" operator="containsText" text="25">
      <formula>NOT(ISERROR(SEARCH("25",G199)))</formula>
    </cfRule>
    <cfRule type="containsText" dxfId="698" priority="1186" operator="containsText" text="50">
      <formula>NOT(ISERROR(SEARCH("50",G199)))</formula>
    </cfRule>
    <cfRule type="containsText" dxfId="697" priority="1187" operator="containsText" text="100">
      <formula>NOT(ISERROR(SEARCH("100",G199)))</formula>
    </cfRule>
    <cfRule type="containsText" dxfId="696" priority="1188" operator="containsText" text="75">
      <formula>NOT(ISERROR(SEARCH("75",G199)))</formula>
    </cfRule>
  </conditionalFormatting>
  <conditionalFormatting sqref="G202">
    <cfRule type="containsText" dxfId="695" priority="2024" operator="containsText" text="75">
      <formula>NOT(ISERROR(SEARCH("75",G202)))</formula>
    </cfRule>
    <cfRule type="containsText" dxfId="694" priority="2023" operator="containsText" text="100">
      <formula>NOT(ISERROR(SEARCH("100",G202)))</formula>
    </cfRule>
    <cfRule type="containsText" dxfId="693" priority="2021" operator="containsText" text="25">
      <formula>NOT(ISERROR(SEARCH("25",G202)))</formula>
    </cfRule>
    <cfRule type="containsText" dxfId="692" priority="2022" operator="containsText" text="50">
      <formula>NOT(ISERROR(SEARCH("50",G202)))</formula>
    </cfRule>
  </conditionalFormatting>
  <conditionalFormatting sqref="G119:H119">
    <cfRule type="containsText" dxfId="691" priority="1244" operator="containsText" text="75">
      <formula>NOT(ISERROR(SEARCH("75",G119)))</formula>
    </cfRule>
    <cfRule type="containsText" dxfId="690" priority="1243" operator="containsText" text="100">
      <formula>NOT(ISERROR(SEARCH("100",G119)))</formula>
    </cfRule>
  </conditionalFormatting>
  <conditionalFormatting sqref="G139:H139">
    <cfRule type="containsText" dxfId="689" priority="1042" operator="containsText" text="50">
      <formula>NOT(ISERROR(SEARCH("50",G139)))</formula>
    </cfRule>
    <cfRule type="containsText" dxfId="688" priority="1043" operator="containsText" text="100">
      <formula>NOT(ISERROR(SEARCH("100",G139)))</formula>
    </cfRule>
    <cfRule type="containsText" dxfId="687" priority="1044" operator="containsText" text="75">
      <formula>NOT(ISERROR(SEARCH("75",G139)))</formula>
    </cfRule>
    <cfRule type="containsText" dxfId="686" priority="1041" operator="containsText" text="25">
      <formula>NOT(ISERROR(SEARCH("25",G139)))</formula>
    </cfRule>
  </conditionalFormatting>
  <conditionalFormatting sqref="G145:H145">
    <cfRule type="containsText" dxfId="685" priority="1047" operator="containsText" text="100">
      <formula>NOT(ISERROR(SEARCH("100",G145)))</formula>
    </cfRule>
    <cfRule type="containsText" dxfId="684" priority="1046" operator="containsText" text="50">
      <formula>NOT(ISERROR(SEARCH("50",G145)))</formula>
    </cfRule>
    <cfRule type="containsText" dxfId="683" priority="1045" operator="containsText" text="25">
      <formula>NOT(ISERROR(SEARCH("25",G145)))</formula>
    </cfRule>
    <cfRule type="containsText" dxfId="682" priority="1048" operator="containsText" text="75">
      <formula>NOT(ISERROR(SEARCH("75",G145)))</formula>
    </cfRule>
  </conditionalFormatting>
  <conditionalFormatting sqref="G151:H151">
    <cfRule type="containsText" dxfId="681" priority="1057" operator="containsText" text="25">
      <formula>NOT(ISERROR(SEARCH("25",G151)))</formula>
    </cfRule>
    <cfRule type="containsText" dxfId="680" priority="1060" operator="containsText" text="75">
      <formula>NOT(ISERROR(SEARCH("75",G151)))</formula>
    </cfRule>
    <cfRule type="containsText" dxfId="679" priority="1059" operator="containsText" text="100">
      <formula>NOT(ISERROR(SEARCH("100",G151)))</formula>
    </cfRule>
    <cfRule type="containsText" dxfId="678" priority="1058" operator="containsText" text="50">
      <formula>NOT(ISERROR(SEARCH("50",G151)))</formula>
    </cfRule>
  </conditionalFormatting>
  <conditionalFormatting sqref="G157:H157">
    <cfRule type="containsText" dxfId="677" priority="1064" operator="containsText" text="75">
      <formula>NOT(ISERROR(SEARCH("75",G157)))</formula>
    </cfRule>
    <cfRule type="containsText" dxfId="676" priority="1063" operator="containsText" text="100">
      <formula>NOT(ISERROR(SEARCH("100",G157)))</formula>
    </cfRule>
    <cfRule type="containsText" dxfId="675" priority="1062" operator="containsText" text="50">
      <formula>NOT(ISERROR(SEARCH("50",G157)))</formula>
    </cfRule>
    <cfRule type="containsText" dxfId="674" priority="1061" operator="containsText" text="25">
      <formula>NOT(ISERROR(SEARCH("25",G157)))</formula>
    </cfRule>
  </conditionalFormatting>
  <conditionalFormatting sqref="G133:J133">
    <cfRule type="containsText" dxfId="673" priority="1032" operator="containsText" text="75">
      <formula>NOT(ISERROR(SEARCH("75",G133)))</formula>
    </cfRule>
    <cfRule type="containsText" dxfId="672" priority="1029" operator="containsText" text="25">
      <formula>NOT(ISERROR(SEARCH("25",G133)))</formula>
    </cfRule>
    <cfRule type="containsText" dxfId="671" priority="1031" operator="containsText" text="100">
      <formula>NOT(ISERROR(SEARCH("100",G133)))</formula>
    </cfRule>
    <cfRule type="containsText" dxfId="670" priority="1030" operator="containsText" text="50">
      <formula>NOT(ISERROR(SEARCH("50",G133)))</formula>
    </cfRule>
  </conditionalFormatting>
  <conditionalFormatting sqref="G163:J163">
    <cfRule type="containsText" dxfId="669" priority="1069" operator="containsText" text="25">
      <formula>NOT(ISERROR(SEARCH("25",G163)))</formula>
    </cfRule>
    <cfRule type="containsText" dxfId="668" priority="1070" operator="containsText" text="50">
      <formula>NOT(ISERROR(SEARCH("50",G163)))</formula>
    </cfRule>
    <cfRule type="containsText" dxfId="667" priority="1071" operator="containsText" text="100">
      <formula>NOT(ISERROR(SEARCH("100",G163)))</formula>
    </cfRule>
    <cfRule type="containsText" dxfId="666" priority="1072" operator="containsText" text="75">
      <formula>NOT(ISERROR(SEARCH("75",G163)))</formula>
    </cfRule>
  </conditionalFormatting>
  <conditionalFormatting sqref="G127:K127">
    <cfRule type="containsText" dxfId="665" priority="958" operator="containsText" text="50">
      <formula>NOT(ISERROR(SEARCH("50",G127)))</formula>
    </cfRule>
    <cfRule type="containsText" dxfId="664" priority="957" operator="containsText" text="25">
      <formula>NOT(ISERROR(SEARCH("25",G127)))</formula>
    </cfRule>
    <cfRule type="containsText" dxfId="663" priority="959" operator="containsText" text="100">
      <formula>NOT(ISERROR(SEARCH("100",G127)))</formula>
    </cfRule>
    <cfRule type="containsText" dxfId="662" priority="960" operator="containsText" text="75">
      <formula>NOT(ISERROR(SEARCH("75",G127)))</formula>
    </cfRule>
  </conditionalFormatting>
  <conditionalFormatting sqref="H119">
    <cfRule type="containsText" dxfId="661" priority="1242" operator="containsText" text="50">
      <formula>NOT(ISERROR(SEARCH("50",H119)))</formula>
    </cfRule>
    <cfRule type="containsText" dxfId="660" priority="1241" operator="containsText" text="25">
      <formula>NOT(ISERROR(SEARCH("25",H119)))</formula>
    </cfRule>
  </conditionalFormatting>
  <conditionalFormatting sqref="H121">
    <cfRule type="containsText" dxfId="659" priority="1139" operator="containsText" text="100">
      <formula>NOT(ISERROR(SEARCH("100",H121)))</formula>
    </cfRule>
    <cfRule type="containsText" dxfId="658" priority="1138" operator="containsText" text="50">
      <formula>NOT(ISERROR(SEARCH("50",H121)))</formula>
    </cfRule>
    <cfRule type="containsText" dxfId="657" priority="1137" operator="containsText" text="25">
      <formula>NOT(ISERROR(SEARCH("25",H121)))</formula>
    </cfRule>
    <cfRule type="containsText" dxfId="656" priority="1140" operator="containsText" text="75">
      <formula>NOT(ISERROR(SEARCH("75",H121)))</formula>
    </cfRule>
  </conditionalFormatting>
  <conditionalFormatting sqref="H202:H203">
    <cfRule type="containsText" dxfId="655" priority="1957" operator="containsText" text="25">
      <formula>NOT(ISERROR(SEARCH("25",H202)))</formula>
    </cfRule>
    <cfRule type="containsText" dxfId="654" priority="1958" operator="containsText" text="50">
      <formula>NOT(ISERROR(SEARCH("50",H202)))</formula>
    </cfRule>
    <cfRule type="containsText" dxfId="653" priority="1959" operator="containsText" text="100">
      <formula>NOT(ISERROR(SEARCH("100",H202)))</formula>
    </cfRule>
    <cfRule type="containsText" dxfId="652" priority="1960" operator="containsText" text="75">
      <formula>NOT(ISERROR(SEARCH("75",H202)))</formula>
    </cfRule>
  </conditionalFormatting>
  <conditionalFormatting sqref="I119:I121">
    <cfRule type="containsText" dxfId="651" priority="1020" operator="containsText" text="75">
      <formula>NOT(ISERROR(SEARCH("75",I119)))</formula>
    </cfRule>
    <cfRule type="containsText" dxfId="650" priority="1017" operator="containsText" text="25">
      <formula>NOT(ISERROR(SEARCH("25",I119)))</formula>
    </cfRule>
    <cfRule type="containsText" dxfId="649" priority="1019" operator="containsText" text="100">
      <formula>NOT(ISERROR(SEARCH("100",I119)))</formula>
    </cfRule>
    <cfRule type="containsText" dxfId="648" priority="1018" operator="containsText" text="50">
      <formula>NOT(ISERROR(SEARCH("50",I119)))</formula>
    </cfRule>
  </conditionalFormatting>
  <conditionalFormatting sqref="I137:I139">
    <cfRule type="containsText" dxfId="647" priority="1037" operator="containsText" text="25">
      <formula>NOT(ISERROR(SEARCH("25",I137)))</formula>
    </cfRule>
    <cfRule type="containsText" dxfId="646" priority="1038" operator="containsText" text="50">
      <formula>NOT(ISERROR(SEARCH("50",I137)))</formula>
    </cfRule>
    <cfRule type="containsText" dxfId="645" priority="1040" operator="containsText" text="75">
      <formula>NOT(ISERROR(SEARCH("75",I137)))</formula>
    </cfRule>
    <cfRule type="containsText" dxfId="644" priority="1039" operator="containsText" text="100">
      <formula>NOT(ISERROR(SEARCH("100",I137)))</formula>
    </cfRule>
  </conditionalFormatting>
  <conditionalFormatting sqref="I143:I145">
    <cfRule type="containsText" dxfId="643" priority="1050" operator="containsText" text="50">
      <formula>NOT(ISERROR(SEARCH("50",I143)))</formula>
    </cfRule>
    <cfRule type="containsText" dxfId="642" priority="1051" operator="containsText" text="100">
      <formula>NOT(ISERROR(SEARCH("100",I143)))</formula>
    </cfRule>
    <cfRule type="containsText" dxfId="641" priority="1052" operator="containsText" text="75">
      <formula>NOT(ISERROR(SEARCH("75",I143)))</formula>
    </cfRule>
    <cfRule type="containsText" dxfId="640" priority="1049" operator="containsText" text="25">
      <formula>NOT(ISERROR(SEARCH("25",I143)))</formula>
    </cfRule>
  </conditionalFormatting>
  <conditionalFormatting sqref="I149:I151">
    <cfRule type="containsText" dxfId="639" priority="1053" operator="containsText" text="25">
      <formula>NOT(ISERROR(SEARCH("25",I149)))</formula>
    </cfRule>
    <cfRule type="containsText" dxfId="638" priority="1054" operator="containsText" text="50">
      <formula>NOT(ISERROR(SEARCH("50",I149)))</formula>
    </cfRule>
    <cfRule type="containsText" dxfId="637" priority="1055" operator="containsText" text="100">
      <formula>NOT(ISERROR(SEARCH("100",I149)))</formula>
    </cfRule>
    <cfRule type="containsText" dxfId="636" priority="1056" operator="containsText" text="75">
      <formula>NOT(ISERROR(SEARCH("75",I149)))</formula>
    </cfRule>
  </conditionalFormatting>
  <conditionalFormatting sqref="I155:I157">
    <cfRule type="containsText" dxfId="635" priority="1068" operator="containsText" text="75">
      <formula>NOT(ISERROR(SEARCH("75",I155)))</formula>
    </cfRule>
    <cfRule type="containsText" dxfId="634" priority="1066" operator="containsText" text="50">
      <formula>NOT(ISERROR(SEARCH("50",I155)))</formula>
    </cfRule>
    <cfRule type="containsText" dxfId="633" priority="1065" operator="containsText" text="25">
      <formula>NOT(ISERROR(SEARCH("25",I155)))</formula>
    </cfRule>
    <cfRule type="containsText" dxfId="632" priority="1067" operator="containsText" text="100">
      <formula>NOT(ISERROR(SEARCH("100",I155)))</formula>
    </cfRule>
  </conditionalFormatting>
  <conditionalFormatting sqref="I169">
    <cfRule type="containsText" dxfId="631" priority="1142" operator="containsText" text="50">
      <formula>NOT(ISERROR(SEARCH("50",I169)))</formula>
    </cfRule>
    <cfRule type="containsText" dxfId="630" priority="1141" operator="containsText" text="25">
      <formula>NOT(ISERROR(SEARCH("25",I169)))</formula>
    </cfRule>
    <cfRule type="containsText" dxfId="629" priority="1143" operator="containsText" text="100">
      <formula>NOT(ISERROR(SEARCH("100",I169)))</formula>
    </cfRule>
    <cfRule type="containsText" dxfId="628" priority="1144" operator="containsText" text="75">
      <formula>NOT(ISERROR(SEARCH("75",I169)))</formula>
    </cfRule>
  </conditionalFormatting>
  <conditionalFormatting sqref="I173:I175">
    <cfRule type="containsText" dxfId="627" priority="1149" operator="containsText" text="25">
      <formula>NOT(ISERROR(SEARCH("25",I173)))</formula>
    </cfRule>
    <cfRule type="containsText" dxfId="626" priority="1152" operator="containsText" text="75">
      <formula>NOT(ISERROR(SEARCH("75",I173)))</formula>
    </cfRule>
    <cfRule type="containsText" dxfId="625" priority="1151" operator="containsText" text="100">
      <formula>NOT(ISERROR(SEARCH("100",I173)))</formula>
    </cfRule>
    <cfRule type="containsText" dxfId="624" priority="1150" operator="containsText" text="50">
      <formula>NOT(ISERROR(SEARCH("50",I173)))</formula>
    </cfRule>
  </conditionalFormatting>
  <conditionalFormatting sqref="I181">
    <cfRule type="containsText" dxfId="623" priority="1157" operator="containsText" text="25">
      <formula>NOT(ISERROR(SEARCH("25",I181)))</formula>
    </cfRule>
    <cfRule type="containsText" dxfId="622" priority="1160" operator="containsText" text="75">
      <formula>NOT(ISERROR(SEARCH("75",I181)))</formula>
    </cfRule>
    <cfRule type="containsText" dxfId="621" priority="1159" operator="containsText" text="100">
      <formula>NOT(ISERROR(SEARCH("100",I181)))</formula>
    </cfRule>
    <cfRule type="containsText" dxfId="620" priority="1158" operator="containsText" text="50">
      <formula>NOT(ISERROR(SEARCH("50",I181)))</formula>
    </cfRule>
  </conditionalFormatting>
  <conditionalFormatting sqref="I185:I187">
    <cfRule type="containsText" dxfId="619" priority="1172" operator="containsText" text="75">
      <formula>NOT(ISERROR(SEARCH("75",I185)))</formula>
    </cfRule>
    <cfRule type="containsText" dxfId="618" priority="1171" operator="containsText" text="100">
      <formula>NOT(ISERROR(SEARCH("100",I185)))</formula>
    </cfRule>
    <cfRule type="containsText" dxfId="617" priority="1170" operator="containsText" text="50">
      <formula>NOT(ISERROR(SEARCH("50",I185)))</formula>
    </cfRule>
    <cfRule type="containsText" dxfId="616" priority="1169" operator="containsText" text="25">
      <formula>NOT(ISERROR(SEARCH("25",I185)))</formula>
    </cfRule>
  </conditionalFormatting>
  <conditionalFormatting sqref="I191:I193">
    <cfRule type="containsText" dxfId="615" priority="1174" operator="containsText" text="50">
      <formula>NOT(ISERROR(SEARCH("50",I191)))</formula>
    </cfRule>
    <cfRule type="containsText" dxfId="614" priority="1175" operator="containsText" text="100">
      <formula>NOT(ISERROR(SEARCH("100",I191)))</formula>
    </cfRule>
    <cfRule type="containsText" dxfId="613" priority="1176" operator="containsText" text="75">
      <formula>NOT(ISERROR(SEARCH("75",I191)))</formula>
    </cfRule>
    <cfRule type="containsText" dxfId="612" priority="1173" operator="containsText" text="25">
      <formula>NOT(ISERROR(SEARCH("25",I191)))</formula>
    </cfRule>
  </conditionalFormatting>
  <conditionalFormatting sqref="I199">
    <cfRule type="containsText" dxfId="611" priority="1181" operator="containsText" text="25">
      <formula>NOT(ISERROR(SEARCH("25",I199)))</formula>
    </cfRule>
    <cfRule type="containsText" dxfId="610" priority="1182" operator="containsText" text="50">
      <formula>NOT(ISERROR(SEARCH("50",I199)))</formula>
    </cfRule>
    <cfRule type="containsText" dxfId="609" priority="1183" operator="containsText" text="100">
      <formula>NOT(ISERROR(SEARCH("100",I199)))</formula>
    </cfRule>
    <cfRule type="containsText" dxfId="608" priority="1184" operator="containsText" text="75">
      <formula>NOT(ISERROR(SEARCH("75",I199)))</formula>
    </cfRule>
  </conditionalFormatting>
  <conditionalFormatting sqref="J119">
    <cfRule type="containsText" dxfId="607" priority="1411" operator="containsText" text="100">
      <formula>NOT(ISERROR(SEARCH("100",J119)))</formula>
    </cfRule>
    <cfRule type="containsText" dxfId="606" priority="1412" operator="containsText" text="75">
      <formula>NOT(ISERROR(SEARCH("75",J119)))</formula>
    </cfRule>
    <cfRule type="containsText" dxfId="605" priority="1410" operator="containsText" text="50">
      <formula>NOT(ISERROR(SEARCH("50",J119)))</formula>
    </cfRule>
    <cfRule type="containsText" dxfId="604" priority="1409" operator="containsText" text="25">
      <formula>NOT(ISERROR(SEARCH("25",J119)))</formula>
    </cfRule>
  </conditionalFormatting>
  <conditionalFormatting sqref="J121">
    <cfRule type="containsText" dxfId="603" priority="1105" operator="containsText" text="25">
      <formula>NOT(ISERROR(SEARCH("25",J121)))</formula>
    </cfRule>
    <cfRule type="containsText" dxfId="602" priority="1106" operator="containsText" text="50">
      <formula>NOT(ISERROR(SEARCH("50",J121)))</formula>
    </cfRule>
    <cfRule type="containsText" dxfId="601" priority="1107" operator="containsText" text="100">
      <formula>NOT(ISERROR(SEARCH("100",J121)))</formula>
    </cfRule>
    <cfRule type="containsText" dxfId="600" priority="1108" operator="containsText" text="75">
      <formula>NOT(ISERROR(SEARCH("75",J121)))</formula>
    </cfRule>
  </conditionalFormatting>
  <conditionalFormatting sqref="J143">
    <cfRule type="containsText" dxfId="599" priority="1396" operator="containsText" text="75">
      <formula>NOT(ISERROR(SEARCH("75",J143)))</formula>
    </cfRule>
    <cfRule type="containsText" dxfId="598" priority="1395" operator="containsText" text="100">
      <formula>NOT(ISERROR(SEARCH("100",J143)))</formula>
    </cfRule>
    <cfRule type="containsText" dxfId="597" priority="1394" operator="containsText" text="50">
      <formula>NOT(ISERROR(SEARCH("50",J143)))</formula>
    </cfRule>
    <cfRule type="containsText" dxfId="596" priority="1393" operator="containsText" text="25">
      <formula>NOT(ISERROR(SEARCH("25",J143)))</formula>
    </cfRule>
  </conditionalFormatting>
  <conditionalFormatting sqref="J145">
    <cfRule type="containsText" dxfId="595" priority="1091" operator="containsText" text="100">
      <formula>NOT(ISERROR(SEARCH("100",J145)))</formula>
    </cfRule>
    <cfRule type="containsText" dxfId="594" priority="1092" operator="containsText" text="75">
      <formula>NOT(ISERROR(SEARCH("75",J145)))</formula>
    </cfRule>
    <cfRule type="containsText" dxfId="593" priority="1090" operator="containsText" text="50">
      <formula>NOT(ISERROR(SEARCH("50",J145)))</formula>
    </cfRule>
    <cfRule type="containsText" dxfId="592" priority="1089" operator="containsText" text="25">
      <formula>NOT(ISERROR(SEARCH("25",J145)))</formula>
    </cfRule>
  </conditionalFormatting>
  <conditionalFormatting sqref="J149">
    <cfRule type="containsText" dxfId="591" priority="1389" operator="containsText" text="25">
      <formula>NOT(ISERROR(SEARCH("25",J149)))</formula>
    </cfRule>
    <cfRule type="containsText" dxfId="590" priority="1392" operator="containsText" text="75">
      <formula>NOT(ISERROR(SEARCH("75",J149)))</formula>
    </cfRule>
    <cfRule type="containsText" dxfId="589" priority="1391" operator="containsText" text="100">
      <formula>NOT(ISERROR(SEARCH("100",J149)))</formula>
    </cfRule>
    <cfRule type="containsText" dxfId="588" priority="1390" operator="containsText" text="50">
      <formula>NOT(ISERROR(SEARCH("50",J149)))</formula>
    </cfRule>
  </conditionalFormatting>
  <conditionalFormatting sqref="J151">
    <cfRule type="containsText" dxfId="587" priority="1085" operator="containsText" text="25">
      <formula>NOT(ISERROR(SEARCH("25",J151)))</formula>
    </cfRule>
    <cfRule type="containsText" dxfId="586" priority="1086" operator="containsText" text="50">
      <formula>NOT(ISERROR(SEARCH("50",J151)))</formula>
    </cfRule>
    <cfRule type="containsText" dxfId="585" priority="1087" operator="containsText" text="100">
      <formula>NOT(ISERROR(SEARCH("100",J151)))</formula>
    </cfRule>
    <cfRule type="containsText" dxfId="584" priority="1088" operator="containsText" text="75">
      <formula>NOT(ISERROR(SEARCH("75",J151)))</formula>
    </cfRule>
  </conditionalFormatting>
  <conditionalFormatting sqref="J155">
    <cfRule type="containsText" dxfId="583" priority="1388" operator="containsText" text="75">
      <formula>NOT(ISERROR(SEARCH("75",J155)))</formula>
    </cfRule>
    <cfRule type="containsText" dxfId="582" priority="1385" operator="containsText" text="25">
      <formula>NOT(ISERROR(SEARCH("25",J155)))</formula>
    </cfRule>
    <cfRule type="containsText" dxfId="581" priority="1386" operator="containsText" text="50">
      <formula>NOT(ISERROR(SEARCH("50",J155)))</formula>
    </cfRule>
    <cfRule type="containsText" dxfId="580" priority="1387" operator="containsText" text="100">
      <formula>NOT(ISERROR(SEARCH("100",J155)))</formula>
    </cfRule>
  </conditionalFormatting>
  <conditionalFormatting sqref="J173">
    <cfRule type="containsText" dxfId="579" priority="1373" operator="containsText" text="25">
      <formula>NOT(ISERROR(SEARCH("25",J173)))</formula>
    </cfRule>
    <cfRule type="containsText" dxfId="578" priority="1375" operator="containsText" text="100">
      <formula>NOT(ISERROR(SEARCH("100",J173)))</formula>
    </cfRule>
    <cfRule type="containsText" dxfId="577" priority="1376" operator="containsText" text="75">
      <formula>NOT(ISERROR(SEARCH("75",J173)))</formula>
    </cfRule>
    <cfRule type="containsText" dxfId="576" priority="1374" operator="containsText" text="50">
      <formula>NOT(ISERROR(SEARCH("50",J173)))</formula>
    </cfRule>
  </conditionalFormatting>
  <conditionalFormatting sqref="J185">
    <cfRule type="containsText" dxfId="575" priority="1367" operator="containsText" text="100">
      <formula>NOT(ISERROR(SEARCH("100",J185)))</formula>
    </cfRule>
    <cfRule type="containsText" dxfId="574" priority="1365" operator="containsText" text="25">
      <formula>NOT(ISERROR(SEARCH("25",J185)))</formula>
    </cfRule>
    <cfRule type="containsText" dxfId="573" priority="1366" operator="containsText" text="50">
      <formula>NOT(ISERROR(SEARCH("50",J185)))</formula>
    </cfRule>
    <cfRule type="containsText" dxfId="572" priority="1368" operator="containsText" text="75">
      <formula>NOT(ISERROR(SEARCH("75",J185)))</formula>
    </cfRule>
  </conditionalFormatting>
  <conditionalFormatting sqref="J137:K137">
    <cfRule type="containsText" dxfId="571" priority="951" operator="containsText" text="100">
      <formula>NOT(ISERROR(SEARCH("100",J137)))</formula>
    </cfRule>
    <cfRule type="containsText" dxfId="570" priority="950" operator="containsText" text="50">
      <formula>NOT(ISERROR(SEARCH("50",J137)))</formula>
    </cfRule>
    <cfRule type="containsText" dxfId="569" priority="949" operator="containsText" text="25">
      <formula>NOT(ISERROR(SEARCH("25",J137)))</formula>
    </cfRule>
    <cfRule type="containsText" dxfId="568" priority="952" operator="containsText" text="75">
      <formula>NOT(ISERROR(SEARCH("75",J137)))</formula>
    </cfRule>
  </conditionalFormatting>
  <conditionalFormatting sqref="J139:K139">
    <cfRule type="containsText" dxfId="567" priority="816" operator="containsText" text="75">
      <formula>NOT(ISERROR(SEARCH("75",J139)))</formula>
    </cfRule>
    <cfRule type="containsText" dxfId="566" priority="813" operator="containsText" text="25">
      <formula>NOT(ISERROR(SEARCH("25",J139)))</formula>
    </cfRule>
    <cfRule type="containsText" dxfId="565" priority="814" operator="containsText" text="50">
      <formula>NOT(ISERROR(SEARCH("50",J139)))</formula>
    </cfRule>
    <cfRule type="containsText" dxfId="564" priority="815" operator="containsText" text="100">
      <formula>NOT(ISERROR(SEARCH("100",J139)))</formula>
    </cfRule>
  </conditionalFormatting>
  <conditionalFormatting sqref="J157:K157">
    <cfRule type="containsText" dxfId="563" priority="944" operator="containsText" text="75">
      <formula>NOT(ISERROR(SEARCH("75",J157)))</formula>
    </cfRule>
    <cfRule type="containsText" dxfId="562" priority="943" operator="containsText" text="100">
      <formula>NOT(ISERROR(SEARCH("100",J157)))</formula>
    </cfRule>
    <cfRule type="containsText" dxfId="561" priority="942" operator="containsText" text="50">
      <formula>NOT(ISERROR(SEARCH("50",J157)))</formula>
    </cfRule>
    <cfRule type="containsText" dxfId="560" priority="941" operator="containsText" text="25">
      <formula>NOT(ISERROR(SEARCH("25",J157)))</formula>
    </cfRule>
  </conditionalFormatting>
  <conditionalFormatting sqref="J191:K191">
    <cfRule type="containsText" dxfId="559" priority="911" operator="containsText" text="100">
      <formula>NOT(ISERROR(SEARCH("100",J191)))</formula>
    </cfRule>
    <cfRule type="containsText" dxfId="558" priority="909" operator="containsText" text="25">
      <formula>NOT(ISERROR(SEARCH("25",J191)))</formula>
    </cfRule>
    <cfRule type="containsText" dxfId="557" priority="910" operator="containsText" text="50">
      <formula>NOT(ISERROR(SEARCH("50",J191)))</formula>
    </cfRule>
    <cfRule type="containsText" dxfId="556" priority="912" operator="containsText" text="75">
      <formula>NOT(ISERROR(SEARCH("75",J191)))</formula>
    </cfRule>
  </conditionalFormatting>
  <conditionalFormatting sqref="K117:K121">
    <cfRule type="containsText" dxfId="555" priority="578" operator="containsText" text="50">
      <formula>NOT(ISERROR(SEARCH("50",K117)))</formula>
    </cfRule>
    <cfRule type="containsText" dxfId="554" priority="577" operator="containsText" text="25">
      <formula>NOT(ISERROR(SEARCH("25",K117)))</formula>
    </cfRule>
    <cfRule type="containsText" dxfId="553" priority="579" operator="containsText" text="100">
      <formula>NOT(ISERROR(SEARCH("100",K117)))</formula>
    </cfRule>
    <cfRule type="containsText" dxfId="552" priority="580" operator="containsText" text="75">
      <formula>NOT(ISERROR(SEARCH("75",K117)))</formula>
    </cfRule>
  </conditionalFormatting>
  <conditionalFormatting sqref="K123:K126">
    <cfRule type="containsText" dxfId="551" priority="688" operator="containsText" text="75">
      <formula>NOT(ISERROR(SEARCH("75",K123)))</formula>
    </cfRule>
    <cfRule type="containsText" dxfId="550" priority="687" operator="containsText" text="100">
      <formula>NOT(ISERROR(SEARCH("100",K123)))</formula>
    </cfRule>
    <cfRule type="containsText" dxfId="549" priority="686" operator="containsText" text="50">
      <formula>NOT(ISERROR(SEARCH("50",K123)))</formula>
    </cfRule>
    <cfRule type="containsText" dxfId="548" priority="685" operator="containsText" text="25">
      <formula>NOT(ISERROR(SEARCH("25",K123)))</formula>
    </cfRule>
  </conditionalFormatting>
  <conditionalFormatting sqref="K129:K133">
    <cfRule type="containsText" dxfId="547" priority="694" operator="containsText" text="50">
      <formula>NOT(ISERROR(SEARCH("50",K129)))</formula>
    </cfRule>
    <cfRule type="containsText" dxfId="546" priority="696" operator="containsText" text="75">
      <formula>NOT(ISERROR(SEARCH("75",K129)))</formula>
    </cfRule>
    <cfRule type="containsText" dxfId="545" priority="695" operator="containsText" text="100">
      <formula>NOT(ISERROR(SEARCH("100",K129)))</formula>
    </cfRule>
    <cfRule type="containsText" dxfId="544" priority="693" operator="containsText" text="25">
      <formula>NOT(ISERROR(SEARCH("25",K129)))</formula>
    </cfRule>
  </conditionalFormatting>
  <conditionalFormatting sqref="K135:K136">
    <cfRule type="containsText" dxfId="543" priority="817" operator="containsText" text="25">
      <formula>NOT(ISERROR(SEARCH("25",K135)))</formula>
    </cfRule>
    <cfRule type="containsText" dxfId="542" priority="819" operator="containsText" text="100">
      <formula>NOT(ISERROR(SEARCH("100",K135)))</formula>
    </cfRule>
    <cfRule type="containsText" dxfId="541" priority="820" operator="containsText" text="75">
      <formula>NOT(ISERROR(SEARCH("75",K135)))</formula>
    </cfRule>
    <cfRule type="containsText" dxfId="540" priority="818" operator="containsText" text="50">
      <formula>NOT(ISERROR(SEARCH("50",K135)))</formula>
    </cfRule>
  </conditionalFormatting>
  <conditionalFormatting sqref="K138">
    <cfRule type="containsText" dxfId="539" priority="700" operator="containsText" text="75">
      <formula>NOT(ISERROR(SEARCH("75",K138)))</formula>
    </cfRule>
    <cfRule type="containsText" dxfId="538" priority="699" operator="containsText" text="100">
      <formula>NOT(ISERROR(SEARCH("100",K138)))</formula>
    </cfRule>
    <cfRule type="containsText" dxfId="537" priority="698" operator="containsText" text="50">
      <formula>NOT(ISERROR(SEARCH("50",K138)))</formula>
    </cfRule>
    <cfRule type="containsText" dxfId="536" priority="697" operator="containsText" text="25">
      <formula>NOT(ISERROR(SEARCH("25",K138)))</formula>
    </cfRule>
  </conditionalFormatting>
  <conditionalFormatting sqref="K153:K156">
    <cfRule type="containsText" dxfId="535" priority="701" operator="containsText" text="25">
      <formula>NOT(ISERROR(SEARCH("25",K153)))</formula>
    </cfRule>
    <cfRule type="containsText" dxfId="534" priority="702" operator="containsText" text="50">
      <formula>NOT(ISERROR(SEARCH("50",K153)))</formula>
    </cfRule>
    <cfRule type="containsText" dxfId="533" priority="703" operator="containsText" text="100">
      <formula>NOT(ISERROR(SEARCH("100",K153)))</formula>
    </cfRule>
    <cfRule type="containsText" dxfId="532" priority="704" operator="containsText" text="75">
      <formula>NOT(ISERROR(SEARCH("75",K153)))</formula>
    </cfRule>
  </conditionalFormatting>
  <conditionalFormatting sqref="K159:K160">
    <cfRule type="containsText" dxfId="531" priority="798" operator="containsText" text="50">
      <formula>NOT(ISERROR(SEARCH("50",K159)))</formula>
    </cfRule>
    <cfRule type="containsText" dxfId="530" priority="799" operator="containsText" text="100">
      <formula>NOT(ISERROR(SEARCH("100",K159)))</formula>
    </cfRule>
    <cfRule type="containsText" dxfId="529" priority="797" operator="containsText" text="25">
      <formula>NOT(ISERROR(SEARCH("25",K159)))</formula>
    </cfRule>
    <cfRule type="containsText" dxfId="528" priority="800" operator="containsText" text="75">
      <formula>NOT(ISERROR(SEARCH("75",K159)))</formula>
    </cfRule>
  </conditionalFormatting>
  <conditionalFormatting sqref="K162:K163">
    <cfRule type="containsText" dxfId="527" priority="789" operator="containsText" text="25">
      <formula>NOT(ISERROR(SEARCH("25",K162)))</formula>
    </cfRule>
    <cfRule type="containsText" dxfId="526" priority="790" operator="containsText" text="50">
      <formula>NOT(ISERROR(SEARCH("50",K162)))</formula>
    </cfRule>
    <cfRule type="containsText" dxfId="525" priority="791" operator="containsText" text="100">
      <formula>NOT(ISERROR(SEARCH("100",K162)))</formula>
    </cfRule>
    <cfRule type="containsText" dxfId="524" priority="792" operator="containsText" text="75">
      <formula>NOT(ISERROR(SEARCH("75",K162)))</formula>
    </cfRule>
  </conditionalFormatting>
  <conditionalFormatting sqref="K165:K166">
    <cfRule type="containsText" dxfId="523" priority="788" operator="containsText" text="75">
      <formula>NOT(ISERROR(SEARCH("75",K165)))</formula>
    </cfRule>
    <cfRule type="containsText" dxfId="522" priority="785" operator="containsText" text="25">
      <formula>NOT(ISERROR(SEARCH("25",K165)))</formula>
    </cfRule>
    <cfRule type="containsText" dxfId="521" priority="786" operator="containsText" text="50">
      <formula>NOT(ISERROR(SEARCH("50",K165)))</formula>
    </cfRule>
    <cfRule type="containsText" dxfId="520" priority="787" operator="containsText" text="100">
      <formula>NOT(ISERROR(SEARCH("100",K165)))</formula>
    </cfRule>
  </conditionalFormatting>
  <conditionalFormatting sqref="K168:K169">
    <cfRule type="containsText" dxfId="519" priority="779" operator="containsText" text="100">
      <formula>NOT(ISERROR(SEARCH("100",K168)))</formula>
    </cfRule>
    <cfRule type="containsText" dxfId="518" priority="777" operator="containsText" text="25">
      <formula>NOT(ISERROR(SEARCH("25",K168)))</formula>
    </cfRule>
    <cfRule type="containsText" dxfId="517" priority="778" operator="containsText" text="50">
      <formula>NOT(ISERROR(SEARCH("50",K168)))</formula>
    </cfRule>
    <cfRule type="containsText" dxfId="516" priority="780" operator="containsText" text="75">
      <formula>NOT(ISERROR(SEARCH("75",K168)))</formula>
    </cfRule>
  </conditionalFormatting>
  <conditionalFormatting sqref="K171">
    <cfRule type="containsText" dxfId="515" priority="773" operator="containsText" text="25">
      <formula>NOT(ISERROR(SEARCH("25",K171)))</formula>
    </cfRule>
    <cfRule type="containsText" dxfId="514" priority="774" operator="containsText" text="50">
      <formula>NOT(ISERROR(SEARCH("50",K171)))</formula>
    </cfRule>
    <cfRule type="containsText" dxfId="513" priority="775" operator="containsText" text="100">
      <formula>NOT(ISERROR(SEARCH("100",K171)))</formula>
    </cfRule>
    <cfRule type="containsText" dxfId="512" priority="776" operator="containsText" text="75">
      <formula>NOT(ISERROR(SEARCH("75",K171)))</formula>
    </cfRule>
  </conditionalFormatting>
  <conditionalFormatting sqref="K173:K175">
    <cfRule type="containsText" dxfId="511" priority="768" operator="containsText" text="75">
      <formula>NOT(ISERROR(SEARCH("75",K173)))</formula>
    </cfRule>
    <cfRule type="containsText" dxfId="510" priority="765" operator="containsText" text="25">
      <formula>NOT(ISERROR(SEARCH("25",K173)))</formula>
    </cfRule>
    <cfRule type="containsText" dxfId="509" priority="766" operator="containsText" text="50">
      <formula>NOT(ISERROR(SEARCH("50",K173)))</formula>
    </cfRule>
    <cfRule type="containsText" dxfId="508" priority="767" operator="containsText" text="100">
      <formula>NOT(ISERROR(SEARCH("100",K173)))</formula>
    </cfRule>
  </conditionalFormatting>
  <conditionalFormatting sqref="K177:K178">
    <cfRule type="containsText" dxfId="507" priority="762" operator="containsText" text="50">
      <formula>NOT(ISERROR(SEARCH("50",K177)))</formula>
    </cfRule>
    <cfRule type="containsText" dxfId="506" priority="764" operator="containsText" text="75">
      <formula>NOT(ISERROR(SEARCH("75",K177)))</formula>
    </cfRule>
    <cfRule type="containsText" dxfId="505" priority="763" operator="containsText" text="100">
      <formula>NOT(ISERROR(SEARCH("100",K177)))</formula>
    </cfRule>
    <cfRule type="containsText" dxfId="504" priority="761" operator="containsText" text="25">
      <formula>NOT(ISERROR(SEARCH("25",K177)))</formula>
    </cfRule>
  </conditionalFormatting>
  <conditionalFormatting sqref="K180:K181">
    <cfRule type="containsText" dxfId="503" priority="754" operator="containsText" text="50">
      <formula>NOT(ISERROR(SEARCH("50",K180)))</formula>
    </cfRule>
    <cfRule type="containsText" dxfId="502" priority="755" operator="containsText" text="100">
      <formula>NOT(ISERROR(SEARCH("100",K180)))</formula>
    </cfRule>
    <cfRule type="containsText" dxfId="501" priority="756" operator="containsText" text="75">
      <formula>NOT(ISERROR(SEARCH("75",K180)))</formula>
    </cfRule>
    <cfRule type="containsText" dxfId="500" priority="753" operator="containsText" text="25">
      <formula>NOT(ISERROR(SEARCH("25",K180)))</formula>
    </cfRule>
  </conditionalFormatting>
  <conditionalFormatting sqref="K183:K187">
    <cfRule type="containsText" dxfId="499" priority="740" operator="containsText" text="75">
      <formula>NOT(ISERROR(SEARCH("75",K183)))</formula>
    </cfRule>
    <cfRule type="containsText" dxfId="498" priority="737" operator="containsText" text="25">
      <formula>NOT(ISERROR(SEARCH("25",K183)))</formula>
    </cfRule>
    <cfRule type="containsText" dxfId="497" priority="738" operator="containsText" text="50">
      <formula>NOT(ISERROR(SEARCH("50",K183)))</formula>
    </cfRule>
    <cfRule type="containsText" dxfId="496" priority="739" operator="containsText" text="100">
      <formula>NOT(ISERROR(SEARCH("100",K183)))</formula>
    </cfRule>
  </conditionalFormatting>
  <conditionalFormatting sqref="K189:K190">
    <cfRule type="containsText" dxfId="495" priority="730" operator="containsText" text="50">
      <formula>NOT(ISERROR(SEARCH("50",K189)))</formula>
    </cfRule>
    <cfRule type="containsText" dxfId="494" priority="729" operator="containsText" text="25">
      <formula>NOT(ISERROR(SEARCH("25",K189)))</formula>
    </cfRule>
    <cfRule type="containsText" dxfId="493" priority="731" operator="containsText" text="100">
      <formula>NOT(ISERROR(SEARCH("100",K189)))</formula>
    </cfRule>
    <cfRule type="containsText" dxfId="492" priority="732" operator="containsText" text="75">
      <formula>NOT(ISERROR(SEARCH("75",K189)))</formula>
    </cfRule>
  </conditionalFormatting>
  <conditionalFormatting sqref="K192:K193">
    <cfRule type="containsText" dxfId="491" priority="705" operator="containsText" text="25">
      <formula>NOT(ISERROR(SEARCH("25",K192)))</formula>
    </cfRule>
    <cfRule type="containsText" dxfId="490" priority="706" operator="containsText" text="50">
      <formula>NOT(ISERROR(SEARCH("50",K192)))</formula>
    </cfRule>
    <cfRule type="containsText" dxfId="489" priority="707" operator="containsText" text="100">
      <formula>NOT(ISERROR(SEARCH("100",K192)))</formula>
    </cfRule>
    <cfRule type="containsText" dxfId="488" priority="708" operator="containsText" text="75">
      <formula>NOT(ISERROR(SEARCH("75",K192)))</formula>
    </cfRule>
  </conditionalFormatting>
  <conditionalFormatting sqref="K195:K199">
    <cfRule type="containsText" dxfId="487" priority="710" operator="containsText" text="50">
      <formula>NOT(ISERROR(SEARCH("50",K195)))</formula>
    </cfRule>
    <cfRule type="containsText" dxfId="486" priority="711" operator="containsText" text="100">
      <formula>NOT(ISERROR(SEARCH("100",K195)))</formula>
    </cfRule>
    <cfRule type="containsText" dxfId="485" priority="709" operator="containsText" text="25">
      <formula>NOT(ISERROR(SEARCH("25",K195)))</formula>
    </cfRule>
    <cfRule type="containsText" dxfId="484" priority="712" operator="containsText" text="75">
      <formula>NOT(ISERROR(SEARCH("75",K195)))</formula>
    </cfRule>
  </conditionalFormatting>
  <conditionalFormatting sqref="K85:P85 R85:BJ85 C86:BJ87 R88:BJ88 C88:L89 O88:P89 R94:BJ94 C94:L95 O94:P95 R100:BJ100 C100:L101 O100:P101 R106:BJ106 C106:L107 O106:P107">
    <cfRule type="containsText" dxfId="483" priority="456" operator="containsText" text="75">
      <formula>NOT(ISERROR(SEARCH("75",C85)))</formula>
    </cfRule>
    <cfRule type="containsText" dxfId="482" priority="455" operator="containsText" text="100">
      <formula>NOT(ISERROR(SEARCH("100",C85)))</formula>
    </cfRule>
    <cfRule type="containsText" dxfId="481" priority="454" operator="containsText" text="50">
      <formula>NOT(ISERROR(SEARCH("50",C85)))</formula>
    </cfRule>
    <cfRule type="containsText" dxfId="480" priority="453" operator="containsText" text="25">
      <formula>NOT(ISERROR(SEARCH("25",C85)))</formula>
    </cfRule>
  </conditionalFormatting>
  <conditionalFormatting sqref="K61:P61 S61:BJ61">
    <cfRule type="containsText" dxfId="479" priority="539" operator="containsText" text="100">
      <formula>NOT(ISERROR(SEARCH("100",K61)))</formula>
    </cfRule>
    <cfRule type="containsText" dxfId="478" priority="540" operator="containsText" text="75">
      <formula>NOT(ISERROR(SEARCH("75",K61)))</formula>
    </cfRule>
    <cfRule type="containsText" dxfId="477" priority="537" operator="containsText" text="25">
      <formula>NOT(ISERROR(SEARCH("25",K61)))</formula>
    </cfRule>
    <cfRule type="containsText" dxfId="476" priority="538" operator="containsText" text="50">
      <formula>NOT(ISERROR(SEARCH("50",K61)))</formula>
    </cfRule>
  </conditionalFormatting>
  <conditionalFormatting sqref="L113:N114">
    <cfRule type="containsText" dxfId="475" priority="370" operator="containsText" text="50">
      <formula>NOT(ISERROR(SEARCH("50",L113)))</formula>
    </cfRule>
    <cfRule type="containsText" dxfId="474" priority="369" operator="containsText" text="25">
      <formula>NOT(ISERROR(SEARCH("25",L113)))</formula>
    </cfRule>
  </conditionalFormatting>
  <conditionalFormatting sqref="L111:BJ111 C116:BJ116 C132 O112:P112 S112:BJ112">
    <cfRule type="containsText" dxfId="473" priority="2152" operator="containsText" text="75">
      <formula>NOT(ISERROR(SEARCH("75",C111)))</formula>
    </cfRule>
    <cfRule type="containsText" dxfId="472" priority="2151" operator="containsText" text="100">
      <formula>NOT(ISERROR(SEARCH("100",C111)))</formula>
    </cfRule>
  </conditionalFormatting>
  <conditionalFormatting sqref="L111:BJ111 C116:BJ116 C132">
    <cfRule type="containsText" dxfId="471" priority="2150" operator="containsText" text="50">
      <formula>NOT(ISERROR(SEARCH("50",C111)))</formula>
    </cfRule>
    <cfRule type="containsText" dxfId="470" priority="2149" operator="containsText" text="25">
      <formula>NOT(ISERROR(SEARCH("25",C111)))</formula>
    </cfRule>
  </conditionalFormatting>
  <conditionalFormatting sqref="L113:P113 S113:BJ113">
    <cfRule type="containsText" dxfId="469" priority="371" operator="containsText" text="100">
      <formula>NOT(ISERROR(SEARCH("100",L113)))</formula>
    </cfRule>
    <cfRule type="containsText" dxfId="468" priority="372" operator="containsText" text="75">
      <formula>NOT(ISERROR(SEARCH("75",L113)))</formula>
    </cfRule>
  </conditionalFormatting>
  <conditionalFormatting sqref="L115:P115 L114:N114 S115:BJ115">
    <cfRule type="containsText" dxfId="467" priority="459" operator="containsText" text="100">
      <formula>NOT(ISERROR(SEARCH("100",L114)))</formula>
    </cfRule>
    <cfRule type="containsText" dxfId="466" priority="460" operator="containsText" text="75">
      <formula>NOT(ISERROR(SEARCH("75",L114)))</formula>
    </cfRule>
  </conditionalFormatting>
  <conditionalFormatting sqref="L115:P115 S115:BJ115">
    <cfRule type="containsText" dxfId="465" priority="458" operator="containsText" text="50">
      <formula>NOT(ISERROR(SEARCH("50",L115)))</formula>
    </cfRule>
    <cfRule type="containsText" dxfId="464" priority="457" operator="containsText" text="25">
      <formula>NOT(ISERROR(SEARCH("25",L115)))</formula>
    </cfRule>
  </conditionalFormatting>
  <conditionalFormatting sqref="M16">
    <cfRule type="containsText" dxfId="463" priority="300" operator="containsText" text="75">
      <formula>NOT(ISERROR(SEARCH("75",M16)))</formula>
    </cfRule>
    <cfRule type="containsText" dxfId="462" priority="299" operator="containsText" text="100">
      <formula>NOT(ISERROR(SEARCH("100",M16)))</formula>
    </cfRule>
    <cfRule type="containsText" dxfId="461" priority="297" operator="containsText" text="25">
      <formula>NOT(ISERROR(SEARCH("25",M16)))</formula>
    </cfRule>
    <cfRule type="containsText" dxfId="460" priority="298" operator="containsText" text="50">
      <formula>NOT(ISERROR(SEARCH("50",M16)))</formula>
    </cfRule>
  </conditionalFormatting>
  <conditionalFormatting sqref="M22">
    <cfRule type="containsText" dxfId="459" priority="294" operator="containsText" text="50">
      <formula>NOT(ISERROR(SEARCH("50",M22)))</formula>
    </cfRule>
    <cfRule type="containsText" dxfId="458" priority="296" operator="containsText" text="75">
      <formula>NOT(ISERROR(SEARCH("75",M22)))</formula>
    </cfRule>
    <cfRule type="containsText" dxfId="457" priority="295" operator="containsText" text="100">
      <formula>NOT(ISERROR(SEARCH("100",M22)))</formula>
    </cfRule>
    <cfRule type="containsText" dxfId="456" priority="293" operator="containsText" text="25">
      <formula>NOT(ISERROR(SEARCH("25",M22)))</formula>
    </cfRule>
  </conditionalFormatting>
  <conditionalFormatting sqref="M28">
    <cfRule type="containsText" dxfId="455" priority="292" operator="containsText" text="75">
      <formula>NOT(ISERROR(SEARCH("75",M28)))</formula>
    </cfRule>
    <cfRule type="containsText" dxfId="454" priority="291" operator="containsText" text="100">
      <formula>NOT(ISERROR(SEARCH("100",M28)))</formula>
    </cfRule>
    <cfRule type="containsText" dxfId="453" priority="290" operator="containsText" text="50">
      <formula>NOT(ISERROR(SEARCH("50",M28)))</formula>
    </cfRule>
    <cfRule type="containsText" dxfId="452" priority="289" operator="containsText" text="25">
      <formula>NOT(ISERROR(SEARCH("25",M28)))</formula>
    </cfRule>
  </conditionalFormatting>
  <conditionalFormatting sqref="M34">
    <cfRule type="containsText" dxfId="451" priority="286" operator="containsText" text="50">
      <formula>NOT(ISERROR(SEARCH("50",M34)))</formula>
    </cfRule>
    <cfRule type="containsText" dxfId="450" priority="285" operator="containsText" text="25">
      <formula>NOT(ISERROR(SEARCH("25",M34)))</formula>
    </cfRule>
    <cfRule type="containsText" dxfId="449" priority="287" operator="containsText" text="100">
      <formula>NOT(ISERROR(SEARCH("100",M34)))</formula>
    </cfRule>
    <cfRule type="containsText" dxfId="448" priority="288" operator="containsText" text="75">
      <formula>NOT(ISERROR(SEARCH("75",M34)))</formula>
    </cfRule>
  </conditionalFormatting>
  <conditionalFormatting sqref="M40">
    <cfRule type="containsText" dxfId="447" priority="283" operator="containsText" text="100">
      <formula>NOT(ISERROR(SEARCH("100",M40)))</formula>
    </cfRule>
    <cfRule type="containsText" dxfId="446" priority="284" operator="containsText" text="75">
      <formula>NOT(ISERROR(SEARCH("75",M40)))</formula>
    </cfRule>
    <cfRule type="containsText" dxfId="445" priority="281" operator="containsText" text="25">
      <formula>NOT(ISERROR(SEARCH("25",M40)))</formula>
    </cfRule>
    <cfRule type="containsText" dxfId="444" priority="282" operator="containsText" text="50">
      <formula>NOT(ISERROR(SEARCH("50",M40)))</formula>
    </cfRule>
  </conditionalFormatting>
  <conditionalFormatting sqref="M46">
    <cfRule type="containsText" dxfId="443" priority="277" operator="containsText" text="25">
      <formula>NOT(ISERROR(SEARCH("25",M46)))</formula>
    </cfRule>
    <cfRule type="containsText" dxfId="442" priority="278" operator="containsText" text="50">
      <formula>NOT(ISERROR(SEARCH("50",M46)))</formula>
    </cfRule>
    <cfRule type="containsText" dxfId="441" priority="280" operator="containsText" text="75">
      <formula>NOT(ISERROR(SEARCH("75",M46)))</formula>
    </cfRule>
    <cfRule type="containsText" dxfId="440" priority="279" operator="containsText" text="100">
      <formula>NOT(ISERROR(SEARCH("100",M46)))</formula>
    </cfRule>
  </conditionalFormatting>
  <conditionalFormatting sqref="M52">
    <cfRule type="containsText" dxfId="439" priority="274" operator="containsText" text="50">
      <formula>NOT(ISERROR(SEARCH("50",M52)))</formula>
    </cfRule>
    <cfRule type="containsText" dxfId="438" priority="275" operator="containsText" text="100">
      <formula>NOT(ISERROR(SEARCH("100",M52)))</formula>
    </cfRule>
    <cfRule type="containsText" dxfId="437" priority="276" operator="containsText" text="75">
      <formula>NOT(ISERROR(SEARCH("75",M52)))</formula>
    </cfRule>
    <cfRule type="containsText" dxfId="436" priority="273" operator="containsText" text="25">
      <formula>NOT(ISERROR(SEARCH("25",M52)))</formula>
    </cfRule>
  </conditionalFormatting>
  <conditionalFormatting sqref="M58">
    <cfRule type="containsText" dxfId="435" priority="270" operator="containsText" text="50">
      <formula>NOT(ISERROR(SEARCH("50",M58)))</formula>
    </cfRule>
    <cfRule type="containsText" dxfId="434" priority="272" operator="containsText" text="75">
      <formula>NOT(ISERROR(SEARCH("75",M58)))</formula>
    </cfRule>
    <cfRule type="containsText" dxfId="433" priority="269" operator="containsText" text="25">
      <formula>NOT(ISERROR(SEARCH("25",M58)))</formula>
    </cfRule>
    <cfRule type="containsText" dxfId="432" priority="271" operator="containsText" text="100">
      <formula>NOT(ISERROR(SEARCH("100",M58)))</formula>
    </cfRule>
  </conditionalFormatting>
  <conditionalFormatting sqref="M64">
    <cfRule type="containsText" dxfId="431" priority="268" operator="containsText" text="75">
      <formula>NOT(ISERROR(SEARCH("75",M64)))</formula>
    </cfRule>
    <cfRule type="containsText" dxfId="430" priority="267" operator="containsText" text="100">
      <formula>NOT(ISERROR(SEARCH("100",M64)))</formula>
    </cfRule>
    <cfRule type="containsText" dxfId="429" priority="266" operator="containsText" text="50">
      <formula>NOT(ISERROR(SEARCH("50",M64)))</formula>
    </cfRule>
    <cfRule type="containsText" dxfId="428" priority="265" operator="containsText" text="25">
      <formula>NOT(ISERROR(SEARCH("25",M64)))</formula>
    </cfRule>
  </conditionalFormatting>
  <conditionalFormatting sqref="M70">
    <cfRule type="containsText" dxfId="427" priority="262" operator="containsText" text="50">
      <formula>NOT(ISERROR(SEARCH("50",M70)))</formula>
    </cfRule>
    <cfRule type="containsText" dxfId="426" priority="263" operator="containsText" text="100">
      <formula>NOT(ISERROR(SEARCH("100",M70)))</formula>
    </cfRule>
    <cfRule type="containsText" dxfId="425" priority="264" operator="containsText" text="75">
      <formula>NOT(ISERROR(SEARCH("75",M70)))</formula>
    </cfRule>
    <cfRule type="containsText" dxfId="424" priority="261" operator="containsText" text="25">
      <formula>NOT(ISERROR(SEARCH("25",M70)))</formula>
    </cfRule>
  </conditionalFormatting>
  <conditionalFormatting sqref="M76">
    <cfRule type="containsText" dxfId="423" priority="257" operator="containsText" text="25">
      <formula>NOT(ISERROR(SEARCH("25",M76)))</formula>
    </cfRule>
    <cfRule type="containsText" dxfId="422" priority="258" operator="containsText" text="50">
      <formula>NOT(ISERROR(SEARCH("50",M76)))</formula>
    </cfRule>
    <cfRule type="containsText" dxfId="421" priority="260" operator="containsText" text="75">
      <formula>NOT(ISERROR(SEARCH("75",M76)))</formula>
    </cfRule>
    <cfRule type="containsText" dxfId="420" priority="259" operator="containsText" text="100">
      <formula>NOT(ISERROR(SEARCH("100",M76)))</formula>
    </cfRule>
  </conditionalFormatting>
  <conditionalFormatting sqref="M82">
    <cfRule type="containsText" dxfId="419" priority="254" operator="containsText" text="50">
      <formula>NOT(ISERROR(SEARCH("50",M82)))</formula>
    </cfRule>
    <cfRule type="containsText" dxfId="418" priority="256" operator="containsText" text="75">
      <formula>NOT(ISERROR(SEARCH("75",M82)))</formula>
    </cfRule>
    <cfRule type="containsText" dxfId="417" priority="253" operator="containsText" text="25">
      <formula>NOT(ISERROR(SEARCH("25",M82)))</formula>
    </cfRule>
    <cfRule type="containsText" dxfId="416" priority="255" operator="containsText" text="100">
      <formula>NOT(ISERROR(SEARCH("100",M82)))</formula>
    </cfRule>
  </conditionalFormatting>
  <conditionalFormatting sqref="M88">
    <cfRule type="containsText" dxfId="415" priority="249" operator="containsText" text="25">
      <formula>NOT(ISERROR(SEARCH("25",M88)))</formula>
    </cfRule>
    <cfRule type="containsText" dxfId="414" priority="250" operator="containsText" text="50">
      <formula>NOT(ISERROR(SEARCH("50",M88)))</formula>
    </cfRule>
    <cfRule type="containsText" dxfId="413" priority="252" operator="containsText" text="75">
      <formula>NOT(ISERROR(SEARCH("75",M88)))</formula>
    </cfRule>
    <cfRule type="containsText" dxfId="412" priority="251" operator="containsText" text="100">
      <formula>NOT(ISERROR(SEARCH("100",M88)))</formula>
    </cfRule>
  </conditionalFormatting>
  <conditionalFormatting sqref="M94">
    <cfRule type="containsText" dxfId="411" priority="248" operator="containsText" text="75">
      <formula>NOT(ISERROR(SEARCH("75",M94)))</formula>
    </cfRule>
    <cfRule type="containsText" dxfId="410" priority="247" operator="containsText" text="100">
      <formula>NOT(ISERROR(SEARCH("100",M94)))</formula>
    </cfRule>
    <cfRule type="containsText" dxfId="409" priority="246" operator="containsText" text="50">
      <formula>NOT(ISERROR(SEARCH("50",M94)))</formula>
    </cfRule>
    <cfRule type="containsText" dxfId="408" priority="245" operator="containsText" text="25">
      <formula>NOT(ISERROR(SEARCH("25",M94)))</formula>
    </cfRule>
  </conditionalFormatting>
  <conditionalFormatting sqref="M100">
    <cfRule type="containsText" dxfId="407" priority="241" operator="containsText" text="25">
      <formula>NOT(ISERROR(SEARCH("25",M100)))</formula>
    </cfRule>
    <cfRule type="containsText" dxfId="406" priority="243" operator="containsText" text="100">
      <formula>NOT(ISERROR(SEARCH("100",M100)))</formula>
    </cfRule>
    <cfRule type="containsText" dxfId="405" priority="242" operator="containsText" text="50">
      <formula>NOT(ISERROR(SEARCH("50",M100)))</formula>
    </cfRule>
    <cfRule type="containsText" dxfId="404" priority="244" operator="containsText" text="75">
      <formula>NOT(ISERROR(SEARCH("75",M100)))</formula>
    </cfRule>
  </conditionalFormatting>
  <conditionalFormatting sqref="M106">
    <cfRule type="containsText" dxfId="403" priority="240" operator="containsText" text="75">
      <formula>NOT(ISERROR(SEARCH("75",M106)))</formula>
    </cfRule>
    <cfRule type="containsText" dxfId="402" priority="239" operator="containsText" text="100">
      <formula>NOT(ISERROR(SEARCH("100",M106)))</formula>
    </cfRule>
    <cfRule type="containsText" dxfId="401" priority="237" operator="containsText" text="25">
      <formula>NOT(ISERROR(SEARCH("25",M106)))</formula>
    </cfRule>
    <cfRule type="containsText" dxfId="400" priority="238" operator="containsText" text="50">
      <formula>NOT(ISERROR(SEARCH("50",M106)))</formula>
    </cfRule>
  </conditionalFormatting>
  <conditionalFormatting sqref="M112">
    <cfRule type="containsText" dxfId="399" priority="234" operator="containsText" text="50">
      <formula>NOT(ISERROR(SEARCH("50",M112)))</formula>
    </cfRule>
    <cfRule type="containsText" dxfId="398" priority="236" operator="containsText" text="75">
      <formula>NOT(ISERROR(SEARCH("75",M112)))</formula>
    </cfRule>
    <cfRule type="containsText" dxfId="397" priority="235" operator="containsText" text="100">
      <formula>NOT(ISERROR(SEARCH("100",M112)))</formula>
    </cfRule>
    <cfRule type="containsText" dxfId="396" priority="233" operator="containsText" text="25">
      <formula>NOT(ISERROR(SEARCH("25",M112)))</formula>
    </cfRule>
  </conditionalFormatting>
  <conditionalFormatting sqref="M118">
    <cfRule type="containsText" dxfId="395" priority="230" operator="containsText" text="50">
      <formula>NOT(ISERROR(SEARCH("50",M118)))</formula>
    </cfRule>
    <cfRule type="containsText" dxfId="394" priority="229" operator="containsText" text="25">
      <formula>NOT(ISERROR(SEARCH("25",M118)))</formula>
    </cfRule>
    <cfRule type="containsText" dxfId="393" priority="231" operator="containsText" text="100">
      <formula>NOT(ISERROR(SEARCH("100",M118)))</formula>
    </cfRule>
    <cfRule type="containsText" dxfId="392" priority="232" operator="containsText" text="75">
      <formula>NOT(ISERROR(SEARCH("75",M118)))</formula>
    </cfRule>
  </conditionalFormatting>
  <conditionalFormatting sqref="M124">
    <cfRule type="containsText" dxfId="391" priority="226" operator="containsText" text="50">
      <formula>NOT(ISERROR(SEARCH("50",M124)))</formula>
    </cfRule>
    <cfRule type="containsText" dxfId="390" priority="225" operator="containsText" text="25">
      <formula>NOT(ISERROR(SEARCH("25",M124)))</formula>
    </cfRule>
    <cfRule type="containsText" dxfId="389" priority="227" operator="containsText" text="100">
      <formula>NOT(ISERROR(SEARCH("100",M124)))</formula>
    </cfRule>
    <cfRule type="containsText" dxfId="388" priority="228" operator="containsText" text="75">
      <formula>NOT(ISERROR(SEARCH("75",M124)))</formula>
    </cfRule>
  </conditionalFormatting>
  <conditionalFormatting sqref="M196">
    <cfRule type="containsText" dxfId="387" priority="311" operator="containsText" text="100">
      <formula>NOT(ISERROR(SEARCH("100",M196)))</formula>
    </cfRule>
    <cfRule type="containsText" dxfId="386" priority="310" operator="containsText" text="50">
      <formula>NOT(ISERROR(SEARCH("50",M196)))</formula>
    </cfRule>
    <cfRule type="containsText" dxfId="385" priority="309" operator="containsText" text="25">
      <formula>NOT(ISERROR(SEARCH("25",M196)))</formula>
    </cfRule>
    <cfRule type="containsText" dxfId="384" priority="312" operator="containsText" text="75">
      <formula>NOT(ISERROR(SEARCH("75",M196)))</formula>
    </cfRule>
  </conditionalFormatting>
  <conditionalFormatting sqref="M23:N23">
    <cfRule type="containsText" dxfId="383" priority="430" operator="containsText" text="50">
      <formula>NOT(ISERROR(SEARCH("50",M23)))</formula>
    </cfRule>
    <cfRule type="containsText" dxfId="382" priority="429" operator="containsText" text="25">
      <formula>NOT(ISERROR(SEARCH("25",M23)))</formula>
    </cfRule>
    <cfRule type="containsText" dxfId="381" priority="431" operator="containsText" text="100">
      <formula>NOT(ISERROR(SEARCH("100",M23)))</formula>
    </cfRule>
    <cfRule type="containsText" dxfId="380" priority="432" operator="containsText" text="75">
      <formula>NOT(ISERROR(SEARCH("75",M23)))</formula>
    </cfRule>
  </conditionalFormatting>
  <conditionalFormatting sqref="M29:N29">
    <cfRule type="containsText" dxfId="379" priority="426" operator="containsText" text="50">
      <formula>NOT(ISERROR(SEARCH("50",M29)))</formula>
    </cfRule>
    <cfRule type="containsText" dxfId="378" priority="428" operator="containsText" text="75">
      <formula>NOT(ISERROR(SEARCH("75",M29)))</formula>
    </cfRule>
    <cfRule type="containsText" dxfId="377" priority="427" operator="containsText" text="100">
      <formula>NOT(ISERROR(SEARCH("100",M29)))</formula>
    </cfRule>
    <cfRule type="containsText" dxfId="376" priority="425" operator="containsText" text="25">
      <formula>NOT(ISERROR(SEARCH("25",M29)))</formula>
    </cfRule>
  </conditionalFormatting>
  <conditionalFormatting sqref="M35:N35">
    <cfRule type="containsText" dxfId="375" priority="421" operator="containsText" text="25">
      <formula>NOT(ISERROR(SEARCH("25",M35)))</formula>
    </cfRule>
    <cfRule type="containsText" dxfId="374" priority="424" operator="containsText" text="75">
      <formula>NOT(ISERROR(SEARCH("75",M35)))</formula>
    </cfRule>
    <cfRule type="containsText" dxfId="373" priority="423" operator="containsText" text="100">
      <formula>NOT(ISERROR(SEARCH("100",M35)))</formula>
    </cfRule>
    <cfRule type="containsText" dxfId="372" priority="422" operator="containsText" text="50">
      <formula>NOT(ISERROR(SEARCH("50",M35)))</formula>
    </cfRule>
  </conditionalFormatting>
  <conditionalFormatting sqref="M41:N41">
    <cfRule type="containsText" dxfId="371" priority="418" operator="containsText" text="50">
      <formula>NOT(ISERROR(SEARCH("50",M41)))</formula>
    </cfRule>
    <cfRule type="containsText" dxfId="370" priority="417" operator="containsText" text="25">
      <formula>NOT(ISERROR(SEARCH("25",M41)))</formula>
    </cfRule>
    <cfRule type="containsText" dxfId="369" priority="419" operator="containsText" text="100">
      <formula>NOT(ISERROR(SEARCH("100",M41)))</formula>
    </cfRule>
    <cfRule type="containsText" dxfId="368" priority="420" operator="containsText" text="75">
      <formula>NOT(ISERROR(SEARCH("75",M41)))</formula>
    </cfRule>
  </conditionalFormatting>
  <conditionalFormatting sqref="M47:N47">
    <cfRule type="containsText" dxfId="367" priority="414" operator="containsText" text="50">
      <formula>NOT(ISERROR(SEARCH("50",M47)))</formula>
    </cfRule>
    <cfRule type="containsText" dxfId="366" priority="416" operator="containsText" text="75">
      <formula>NOT(ISERROR(SEARCH("75",M47)))</formula>
    </cfRule>
    <cfRule type="containsText" dxfId="365" priority="413" operator="containsText" text="25">
      <formula>NOT(ISERROR(SEARCH("25",M47)))</formula>
    </cfRule>
    <cfRule type="containsText" dxfId="364" priority="415" operator="containsText" text="100">
      <formula>NOT(ISERROR(SEARCH("100",M47)))</formula>
    </cfRule>
  </conditionalFormatting>
  <conditionalFormatting sqref="M53:N53">
    <cfRule type="containsText" dxfId="363" priority="410" operator="containsText" text="50">
      <formula>NOT(ISERROR(SEARCH("50",M53)))</formula>
    </cfRule>
    <cfRule type="containsText" dxfId="362" priority="412" operator="containsText" text="75">
      <formula>NOT(ISERROR(SEARCH("75",M53)))</formula>
    </cfRule>
    <cfRule type="containsText" dxfId="361" priority="409" operator="containsText" text="25">
      <formula>NOT(ISERROR(SEARCH("25",M53)))</formula>
    </cfRule>
    <cfRule type="containsText" dxfId="360" priority="411" operator="containsText" text="100">
      <formula>NOT(ISERROR(SEARCH("100",M53)))</formula>
    </cfRule>
  </conditionalFormatting>
  <conditionalFormatting sqref="M59:N59">
    <cfRule type="containsText" dxfId="359" priority="405" operator="containsText" text="25">
      <formula>NOT(ISERROR(SEARCH("25",M59)))</formula>
    </cfRule>
    <cfRule type="containsText" dxfId="358" priority="408" operator="containsText" text="75">
      <formula>NOT(ISERROR(SEARCH("75",M59)))</formula>
    </cfRule>
    <cfRule type="containsText" dxfId="357" priority="407" operator="containsText" text="100">
      <formula>NOT(ISERROR(SEARCH("100",M59)))</formula>
    </cfRule>
    <cfRule type="containsText" dxfId="356" priority="406" operator="containsText" text="50">
      <formula>NOT(ISERROR(SEARCH("50",M59)))</formula>
    </cfRule>
  </conditionalFormatting>
  <conditionalFormatting sqref="M65:N65">
    <cfRule type="containsText" dxfId="355" priority="403" operator="containsText" text="100">
      <formula>NOT(ISERROR(SEARCH("100",M65)))</formula>
    </cfRule>
    <cfRule type="containsText" dxfId="354" priority="404" operator="containsText" text="75">
      <formula>NOT(ISERROR(SEARCH("75",M65)))</formula>
    </cfRule>
    <cfRule type="containsText" dxfId="353" priority="401" operator="containsText" text="25">
      <formula>NOT(ISERROR(SEARCH("25",M65)))</formula>
    </cfRule>
    <cfRule type="containsText" dxfId="352" priority="402" operator="containsText" text="50">
      <formula>NOT(ISERROR(SEARCH("50",M65)))</formula>
    </cfRule>
  </conditionalFormatting>
  <conditionalFormatting sqref="M77:N77">
    <cfRule type="containsText" dxfId="351" priority="393" operator="containsText" text="25">
      <formula>NOT(ISERROR(SEARCH("25",M77)))</formula>
    </cfRule>
    <cfRule type="containsText" dxfId="350" priority="395" operator="containsText" text="100">
      <formula>NOT(ISERROR(SEARCH("100",M77)))</formula>
    </cfRule>
    <cfRule type="containsText" dxfId="349" priority="396" operator="containsText" text="75">
      <formula>NOT(ISERROR(SEARCH("75",M77)))</formula>
    </cfRule>
    <cfRule type="containsText" dxfId="348" priority="394" operator="containsText" text="50">
      <formula>NOT(ISERROR(SEARCH("50",M77)))</formula>
    </cfRule>
  </conditionalFormatting>
  <conditionalFormatting sqref="M83:N83">
    <cfRule type="containsText" dxfId="347" priority="391" operator="containsText" text="100">
      <formula>NOT(ISERROR(SEARCH("100",M83)))</formula>
    </cfRule>
    <cfRule type="containsText" dxfId="346" priority="392" operator="containsText" text="75">
      <formula>NOT(ISERROR(SEARCH("75",M83)))</formula>
    </cfRule>
    <cfRule type="containsText" dxfId="345" priority="389" operator="containsText" text="25">
      <formula>NOT(ISERROR(SEARCH("25",M83)))</formula>
    </cfRule>
    <cfRule type="containsText" dxfId="344" priority="390" operator="containsText" text="50">
      <formula>NOT(ISERROR(SEARCH("50",M83)))</formula>
    </cfRule>
  </conditionalFormatting>
  <conditionalFormatting sqref="M89:N89">
    <cfRule type="containsText" dxfId="343" priority="387" operator="containsText" text="100">
      <formula>NOT(ISERROR(SEARCH("100",M89)))</formula>
    </cfRule>
    <cfRule type="containsText" dxfId="342" priority="385" operator="containsText" text="25">
      <formula>NOT(ISERROR(SEARCH("25",M89)))</formula>
    </cfRule>
    <cfRule type="containsText" dxfId="341" priority="386" operator="containsText" text="50">
      <formula>NOT(ISERROR(SEARCH("50",M89)))</formula>
    </cfRule>
    <cfRule type="containsText" dxfId="340" priority="388" operator="containsText" text="75">
      <formula>NOT(ISERROR(SEARCH("75",M89)))</formula>
    </cfRule>
  </conditionalFormatting>
  <conditionalFormatting sqref="M95:N95">
    <cfRule type="containsText" dxfId="339" priority="381" operator="containsText" text="25">
      <formula>NOT(ISERROR(SEARCH("25",M95)))</formula>
    </cfRule>
    <cfRule type="containsText" dxfId="338" priority="382" operator="containsText" text="50">
      <formula>NOT(ISERROR(SEARCH("50",M95)))</formula>
    </cfRule>
    <cfRule type="containsText" dxfId="337" priority="383" operator="containsText" text="100">
      <formula>NOT(ISERROR(SEARCH("100",M95)))</formula>
    </cfRule>
    <cfRule type="containsText" dxfId="336" priority="384" operator="containsText" text="75">
      <formula>NOT(ISERROR(SEARCH("75",M95)))</formula>
    </cfRule>
  </conditionalFormatting>
  <conditionalFormatting sqref="M101:N101">
    <cfRule type="containsText" dxfId="335" priority="377" operator="containsText" text="25">
      <formula>NOT(ISERROR(SEARCH("25",M101)))</formula>
    </cfRule>
    <cfRule type="containsText" dxfId="334" priority="378" operator="containsText" text="50">
      <formula>NOT(ISERROR(SEARCH("50",M101)))</formula>
    </cfRule>
    <cfRule type="containsText" dxfId="333" priority="379" operator="containsText" text="100">
      <formula>NOT(ISERROR(SEARCH("100",M101)))</formula>
    </cfRule>
    <cfRule type="containsText" dxfId="332" priority="380" operator="containsText" text="75">
      <formula>NOT(ISERROR(SEARCH("75",M101)))</formula>
    </cfRule>
  </conditionalFormatting>
  <conditionalFormatting sqref="M107:N107">
    <cfRule type="containsText" dxfId="331" priority="375" operator="containsText" text="100">
      <formula>NOT(ISERROR(SEARCH("100",M107)))</formula>
    </cfRule>
    <cfRule type="containsText" dxfId="330" priority="374" operator="containsText" text="50">
      <formula>NOT(ISERROR(SEARCH("50",M107)))</formula>
    </cfRule>
    <cfRule type="containsText" dxfId="329" priority="376" operator="containsText" text="75">
      <formula>NOT(ISERROR(SEARCH("75",M107)))</formula>
    </cfRule>
    <cfRule type="containsText" dxfId="328" priority="373" operator="containsText" text="25">
      <formula>NOT(ISERROR(SEARCH("25",M107)))</formula>
    </cfRule>
  </conditionalFormatting>
  <conditionalFormatting sqref="M119:N119">
    <cfRule type="containsText" dxfId="327" priority="367" operator="containsText" text="100">
      <formula>NOT(ISERROR(SEARCH("100",M119)))</formula>
    </cfRule>
    <cfRule type="containsText" dxfId="326" priority="366" operator="containsText" text="50">
      <formula>NOT(ISERROR(SEARCH("50",M119)))</formula>
    </cfRule>
    <cfRule type="containsText" dxfId="325" priority="365" operator="containsText" text="25">
      <formula>NOT(ISERROR(SEARCH("25",M119)))</formula>
    </cfRule>
    <cfRule type="containsText" dxfId="324" priority="368" operator="containsText" text="75">
      <formula>NOT(ISERROR(SEARCH("75",M119)))</formula>
    </cfRule>
  </conditionalFormatting>
  <conditionalFormatting sqref="M125:N125">
    <cfRule type="containsText" dxfId="323" priority="361" operator="containsText" text="25">
      <formula>NOT(ISERROR(SEARCH("25",M125)))</formula>
    </cfRule>
    <cfRule type="containsText" dxfId="322" priority="364" operator="containsText" text="75">
      <formula>NOT(ISERROR(SEARCH("75",M125)))</formula>
    </cfRule>
    <cfRule type="containsText" dxfId="321" priority="363" operator="containsText" text="100">
      <formula>NOT(ISERROR(SEARCH("100",M125)))</formula>
    </cfRule>
    <cfRule type="containsText" dxfId="320" priority="362" operator="containsText" text="50">
      <formula>NOT(ISERROR(SEARCH("50",M125)))</formula>
    </cfRule>
  </conditionalFormatting>
  <conditionalFormatting sqref="M131:N131">
    <cfRule type="containsText" dxfId="319" priority="360" operator="containsText" text="75">
      <formula>NOT(ISERROR(SEARCH("75",M131)))</formula>
    </cfRule>
    <cfRule type="containsText" dxfId="318" priority="359" operator="containsText" text="100">
      <formula>NOT(ISERROR(SEARCH("100",M131)))</formula>
    </cfRule>
    <cfRule type="containsText" dxfId="317" priority="358" operator="containsText" text="50">
      <formula>NOT(ISERROR(SEARCH("50",M131)))</formula>
    </cfRule>
    <cfRule type="containsText" dxfId="316" priority="357" operator="containsText" text="25">
      <formula>NOT(ISERROR(SEARCH("25",M131)))</formula>
    </cfRule>
  </conditionalFormatting>
  <conditionalFormatting sqref="M137:N137">
    <cfRule type="containsText" dxfId="315" priority="356" operator="containsText" text="75">
      <formula>NOT(ISERROR(SEARCH("75",M137)))</formula>
    </cfRule>
    <cfRule type="containsText" dxfId="314" priority="355" operator="containsText" text="100">
      <formula>NOT(ISERROR(SEARCH("100",M137)))</formula>
    </cfRule>
    <cfRule type="containsText" dxfId="313" priority="354" operator="containsText" text="50">
      <formula>NOT(ISERROR(SEARCH("50",M137)))</formula>
    </cfRule>
    <cfRule type="containsText" dxfId="312" priority="353" operator="containsText" text="25">
      <formula>NOT(ISERROR(SEARCH("25",M137)))</formula>
    </cfRule>
  </conditionalFormatting>
  <conditionalFormatting sqref="M143:N143">
    <cfRule type="containsText" dxfId="311" priority="350" operator="containsText" text="50">
      <formula>NOT(ISERROR(SEARCH("50",M143)))</formula>
    </cfRule>
    <cfRule type="containsText" dxfId="310" priority="352" operator="containsText" text="75">
      <formula>NOT(ISERROR(SEARCH("75",M143)))</formula>
    </cfRule>
    <cfRule type="containsText" dxfId="309" priority="351" operator="containsText" text="100">
      <formula>NOT(ISERROR(SEARCH("100",M143)))</formula>
    </cfRule>
    <cfRule type="containsText" dxfId="308" priority="349" operator="containsText" text="25">
      <formula>NOT(ISERROR(SEARCH("25",M143)))</formula>
    </cfRule>
  </conditionalFormatting>
  <conditionalFormatting sqref="M149:N149">
    <cfRule type="containsText" dxfId="307" priority="348" operator="containsText" text="75">
      <formula>NOT(ISERROR(SEARCH("75",M149)))</formula>
    </cfRule>
    <cfRule type="containsText" dxfId="306" priority="347" operator="containsText" text="100">
      <formula>NOT(ISERROR(SEARCH("100",M149)))</formula>
    </cfRule>
    <cfRule type="containsText" dxfId="305" priority="346" operator="containsText" text="50">
      <formula>NOT(ISERROR(SEARCH("50",M149)))</formula>
    </cfRule>
    <cfRule type="containsText" dxfId="304" priority="345" operator="containsText" text="25">
      <formula>NOT(ISERROR(SEARCH("25",M149)))</formula>
    </cfRule>
  </conditionalFormatting>
  <conditionalFormatting sqref="M155:N155">
    <cfRule type="containsText" dxfId="303" priority="344" operator="containsText" text="75">
      <formula>NOT(ISERROR(SEARCH("75",M155)))</formula>
    </cfRule>
    <cfRule type="containsText" dxfId="302" priority="343" operator="containsText" text="100">
      <formula>NOT(ISERROR(SEARCH("100",M155)))</formula>
    </cfRule>
    <cfRule type="containsText" dxfId="301" priority="342" operator="containsText" text="50">
      <formula>NOT(ISERROR(SEARCH("50",M155)))</formula>
    </cfRule>
    <cfRule type="containsText" dxfId="300" priority="341" operator="containsText" text="25">
      <formula>NOT(ISERROR(SEARCH("25",M155)))</formula>
    </cfRule>
  </conditionalFormatting>
  <conditionalFormatting sqref="M161:N161">
    <cfRule type="containsText" dxfId="299" priority="337" operator="containsText" text="25">
      <formula>NOT(ISERROR(SEARCH("25",M161)))</formula>
    </cfRule>
    <cfRule type="containsText" dxfId="298" priority="340" operator="containsText" text="75">
      <formula>NOT(ISERROR(SEARCH("75",M161)))</formula>
    </cfRule>
    <cfRule type="containsText" dxfId="297" priority="339" operator="containsText" text="100">
      <formula>NOT(ISERROR(SEARCH("100",M161)))</formula>
    </cfRule>
    <cfRule type="containsText" dxfId="296" priority="338" operator="containsText" text="50">
      <formula>NOT(ISERROR(SEARCH("50",M161)))</formula>
    </cfRule>
  </conditionalFormatting>
  <conditionalFormatting sqref="M167:N167">
    <cfRule type="containsText" dxfId="295" priority="333" operator="containsText" text="25">
      <formula>NOT(ISERROR(SEARCH("25",M167)))</formula>
    </cfRule>
    <cfRule type="containsText" dxfId="294" priority="334" operator="containsText" text="50">
      <formula>NOT(ISERROR(SEARCH("50",M167)))</formula>
    </cfRule>
    <cfRule type="containsText" dxfId="293" priority="335" operator="containsText" text="100">
      <formula>NOT(ISERROR(SEARCH("100",M167)))</formula>
    </cfRule>
    <cfRule type="containsText" dxfId="292" priority="336" operator="containsText" text="75">
      <formula>NOT(ISERROR(SEARCH("75",M167)))</formula>
    </cfRule>
  </conditionalFormatting>
  <conditionalFormatting sqref="M173:N173">
    <cfRule type="containsText" dxfId="291" priority="329" operator="containsText" text="25">
      <formula>NOT(ISERROR(SEARCH("25",M173)))</formula>
    </cfRule>
    <cfRule type="containsText" dxfId="290" priority="330" operator="containsText" text="50">
      <formula>NOT(ISERROR(SEARCH("50",M173)))</formula>
    </cfRule>
    <cfRule type="containsText" dxfId="289" priority="331" operator="containsText" text="100">
      <formula>NOT(ISERROR(SEARCH("100",M173)))</formula>
    </cfRule>
    <cfRule type="containsText" dxfId="288" priority="332" operator="containsText" text="75">
      <formula>NOT(ISERROR(SEARCH("75",M173)))</formula>
    </cfRule>
  </conditionalFormatting>
  <conditionalFormatting sqref="M179:N179">
    <cfRule type="containsText" dxfId="287" priority="326" operator="containsText" text="50">
      <formula>NOT(ISERROR(SEARCH("50",M179)))</formula>
    </cfRule>
    <cfRule type="containsText" dxfId="286" priority="327" operator="containsText" text="100">
      <formula>NOT(ISERROR(SEARCH("100",M179)))</formula>
    </cfRule>
    <cfRule type="containsText" dxfId="285" priority="328" operator="containsText" text="75">
      <formula>NOT(ISERROR(SEARCH("75",M179)))</formula>
    </cfRule>
    <cfRule type="containsText" dxfId="284" priority="325" operator="containsText" text="25">
      <formula>NOT(ISERROR(SEARCH("25",M179)))</formula>
    </cfRule>
  </conditionalFormatting>
  <conditionalFormatting sqref="M185:N185">
    <cfRule type="containsText" dxfId="283" priority="324" operator="containsText" text="75">
      <formula>NOT(ISERROR(SEARCH("75",M185)))</formula>
    </cfRule>
    <cfRule type="containsText" dxfId="282" priority="321" operator="containsText" text="25">
      <formula>NOT(ISERROR(SEARCH("25",M185)))</formula>
    </cfRule>
    <cfRule type="containsText" dxfId="281" priority="322" operator="containsText" text="50">
      <formula>NOT(ISERROR(SEARCH("50",M185)))</formula>
    </cfRule>
    <cfRule type="containsText" dxfId="280" priority="323" operator="containsText" text="100">
      <formula>NOT(ISERROR(SEARCH("100",M185)))</formula>
    </cfRule>
  </conditionalFormatting>
  <conditionalFormatting sqref="M191:N191">
    <cfRule type="containsText" dxfId="279" priority="319" operator="containsText" text="100">
      <formula>NOT(ISERROR(SEARCH("100",M191)))</formula>
    </cfRule>
    <cfRule type="containsText" dxfId="278" priority="318" operator="containsText" text="50">
      <formula>NOT(ISERROR(SEARCH("50",M191)))</formula>
    </cfRule>
    <cfRule type="containsText" dxfId="277" priority="317" operator="containsText" text="25">
      <formula>NOT(ISERROR(SEARCH("25",M191)))</formula>
    </cfRule>
    <cfRule type="containsText" dxfId="276" priority="320" operator="containsText" text="75">
      <formula>NOT(ISERROR(SEARCH("75",M191)))</formula>
    </cfRule>
  </conditionalFormatting>
  <conditionalFormatting sqref="M197:N197">
    <cfRule type="containsText" dxfId="275" priority="313" operator="containsText" text="25">
      <formula>NOT(ISERROR(SEARCH("25",M197)))</formula>
    </cfRule>
    <cfRule type="containsText" dxfId="274" priority="314" operator="containsText" text="50">
      <formula>NOT(ISERROR(SEARCH("50",M197)))</formula>
    </cfRule>
    <cfRule type="containsText" dxfId="273" priority="315" operator="containsText" text="100">
      <formula>NOT(ISERROR(SEARCH("100",M197)))</formula>
    </cfRule>
    <cfRule type="containsText" dxfId="272" priority="316" operator="containsText" text="75">
      <formula>NOT(ISERROR(SEARCH("75",M197)))</formula>
    </cfRule>
  </conditionalFormatting>
  <conditionalFormatting sqref="M71:P71 S71:BJ71">
    <cfRule type="containsText" dxfId="271" priority="398" operator="containsText" text="50">
      <formula>NOT(ISERROR(SEARCH("50",M71)))</formula>
    </cfRule>
    <cfRule type="containsText" dxfId="270" priority="397" operator="containsText" text="25">
      <formula>NOT(ISERROR(SEARCH("25",M71)))</formula>
    </cfRule>
    <cfRule type="containsText" dxfId="269" priority="400" operator="containsText" text="75">
      <formula>NOT(ISERROR(SEARCH("75",M71)))</formula>
    </cfRule>
    <cfRule type="containsText" dxfId="268" priority="399" operator="containsText" text="100">
      <formula>NOT(ISERROR(SEARCH("100",M71)))</formula>
    </cfRule>
  </conditionalFormatting>
  <conditionalFormatting sqref="N121">
    <cfRule type="containsText" dxfId="267" priority="515" operator="containsText" text="100">
      <formula>NOT(ISERROR(SEARCH("100",N121)))</formula>
    </cfRule>
    <cfRule type="containsText" dxfId="266" priority="514" operator="containsText" text="50">
      <formula>NOT(ISERROR(SEARCH("50",N121)))</formula>
    </cfRule>
    <cfRule type="containsText" dxfId="265" priority="513" operator="containsText" text="25">
      <formula>NOT(ISERROR(SEARCH("25",N121)))</formula>
    </cfRule>
    <cfRule type="containsText" dxfId="264" priority="516" operator="containsText" text="75">
      <formula>NOT(ISERROR(SEARCH("75",N121)))</formula>
    </cfRule>
  </conditionalFormatting>
  <conditionalFormatting sqref="N127">
    <cfRule type="containsText" dxfId="263" priority="472" operator="containsText" text="75">
      <formula>NOT(ISERROR(SEARCH("75",N127)))</formula>
    </cfRule>
    <cfRule type="containsText" dxfId="262" priority="469" operator="containsText" text="25">
      <formula>NOT(ISERROR(SEARCH("25",N127)))</formula>
    </cfRule>
    <cfRule type="containsText" dxfId="261" priority="470" operator="containsText" text="50">
      <formula>NOT(ISERROR(SEARCH("50",N127)))</formula>
    </cfRule>
    <cfRule type="containsText" dxfId="260" priority="471" operator="containsText" text="100">
      <formula>NOT(ISERROR(SEARCH("100",N127)))</formula>
    </cfRule>
  </conditionalFormatting>
  <conditionalFormatting sqref="N133">
    <cfRule type="containsText" dxfId="259" priority="473" operator="containsText" text="25">
      <formula>NOT(ISERROR(SEARCH("25",N133)))</formula>
    </cfRule>
    <cfRule type="containsText" dxfId="258" priority="474" operator="containsText" text="50">
      <formula>NOT(ISERROR(SEARCH("50",N133)))</formula>
    </cfRule>
    <cfRule type="containsText" dxfId="257" priority="476" operator="containsText" text="75">
      <formula>NOT(ISERROR(SEARCH("75",N133)))</formula>
    </cfRule>
    <cfRule type="containsText" dxfId="256" priority="475" operator="containsText" text="100">
      <formula>NOT(ISERROR(SEARCH("100",N133)))</formula>
    </cfRule>
  </conditionalFormatting>
  <conditionalFormatting sqref="N139">
    <cfRule type="containsText" dxfId="255" priority="477" operator="containsText" text="25">
      <formula>NOT(ISERROR(SEARCH("25",N139)))</formula>
    </cfRule>
    <cfRule type="containsText" dxfId="254" priority="478" operator="containsText" text="50">
      <formula>NOT(ISERROR(SEARCH("50",N139)))</formula>
    </cfRule>
    <cfRule type="containsText" dxfId="253" priority="479" operator="containsText" text="100">
      <formula>NOT(ISERROR(SEARCH("100",N139)))</formula>
    </cfRule>
    <cfRule type="containsText" dxfId="252" priority="480" operator="containsText" text="75">
      <formula>NOT(ISERROR(SEARCH("75",N139)))</formula>
    </cfRule>
  </conditionalFormatting>
  <conditionalFormatting sqref="N145">
    <cfRule type="containsText" dxfId="251" priority="467" operator="containsText" text="100">
      <formula>NOT(ISERROR(SEARCH("100",N145)))</formula>
    </cfRule>
    <cfRule type="containsText" dxfId="250" priority="466" operator="containsText" text="50">
      <formula>NOT(ISERROR(SEARCH("50",N145)))</formula>
    </cfRule>
    <cfRule type="containsText" dxfId="249" priority="465" operator="containsText" text="25">
      <formula>NOT(ISERROR(SEARCH("25",N145)))</formula>
    </cfRule>
    <cfRule type="containsText" dxfId="248" priority="468" operator="containsText" text="75">
      <formula>NOT(ISERROR(SEARCH("75",N145)))</formula>
    </cfRule>
  </conditionalFormatting>
  <conditionalFormatting sqref="N151">
    <cfRule type="containsText" dxfId="247" priority="464" operator="containsText" text="75">
      <formula>NOT(ISERROR(SEARCH("75",N151)))</formula>
    </cfRule>
    <cfRule type="containsText" dxfId="246" priority="463" operator="containsText" text="100">
      <formula>NOT(ISERROR(SEARCH("100",N151)))</formula>
    </cfRule>
    <cfRule type="containsText" dxfId="245" priority="462" operator="containsText" text="50">
      <formula>NOT(ISERROR(SEARCH("50",N151)))</formula>
    </cfRule>
    <cfRule type="containsText" dxfId="244" priority="461" operator="containsText" text="25">
      <formula>NOT(ISERROR(SEARCH("25",N151)))</formula>
    </cfRule>
  </conditionalFormatting>
  <conditionalFormatting sqref="N157">
    <cfRule type="containsText" dxfId="243" priority="481" operator="containsText" text="25">
      <formula>NOT(ISERROR(SEARCH("25",N157)))</formula>
    </cfRule>
    <cfRule type="containsText" dxfId="242" priority="484" operator="containsText" text="75">
      <formula>NOT(ISERROR(SEARCH("75",N157)))</formula>
    </cfRule>
    <cfRule type="containsText" dxfId="241" priority="483" operator="containsText" text="100">
      <formula>NOT(ISERROR(SEARCH("100",N157)))</formula>
    </cfRule>
    <cfRule type="containsText" dxfId="240" priority="482" operator="containsText" text="50">
      <formula>NOT(ISERROR(SEARCH("50",N157)))</formula>
    </cfRule>
  </conditionalFormatting>
  <conditionalFormatting sqref="N163">
    <cfRule type="containsText" dxfId="239" priority="488" operator="containsText" text="75">
      <formula>NOT(ISERROR(SEARCH("75",N163)))</formula>
    </cfRule>
    <cfRule type="containsText" dxfId="238" priority="486" operator="containsText" text="50">
      <formula>NOT(ISERROR(SEARCH("50",N163)))</formula>
    </cfRule>
    <cfRule type="containsText" dxfId="237" priority="485" operator="containsText" text="25">
      <formula>NOT(ISERROR(SEARCH("25",N163)))</formula>
    </cfRule>
    <cfRule type="containsText" dxfId="236" priority="487" operator="containsText" text="100">
      <formula>NOT(ISERROR(SEARCH("100",N163)))</formula>
    </cfRule>
  </conditionalFormatting>
  <conditionalFormatting sqref="N169">
    <cfRule type="containsText" dxfId="235" priority="492" operator="containsText" text="75">
      <formula>NOT(ISERROR(SEARCH("75",N169)))</formula>
    </cfRule>
    <cfRule type="containsText" dxfId="234" priority="491" operator="containsText" text="100">
      <formula>NOT(ISERROR(SEARCH("100",N169)))</formula>
    </cfRule>
    <cfRule type="containsText" dxfId="233" priority="490" operator="containsText" text="50">
      <formula>NOT(ISERROR(SEARCH("50",N169)))</formula>
    </cfRule>
    <cfRule type="containsText" dxfId="232" priority="489" operator="containsText" text="25">
      <formula>NOT(ISERROR(SEARCH("25",N169)))</formula>
    </cfRule>
  </conditionalFormatting>
  <conditionalFormatting sqref="N175">
    <cfRule type="containsText" dxfId="231" priority="494" operator="containsText" text="50">
      <formula>NOT(ISERROR(SEARCH("50",N175)))</formula>
    </cfRule>
    <cfRule type="containsText" dxfId="230" priority="495" operator="containsText" text="100">
      <formula>NOT(ISERROR(SEARCH("100",N175)))</formula>
    </cfRule>
    <cfRule type="containsText" dxfId="229" priority="493" operator="containsText" text="25">
      <formula>NOT(ISERROR(SEARCH("25",N175)))</formula>
    </cfRule>
    <cfRule type="containsText" dxfId="228" priority="496" operator="containsText" text="75">
      <formula>NOT(ISERROR(SEARCH("75",N175)))</formula>
    </cfRule>
  </conditionalFormatting>
  <conditionalFormatting sqref="N187">
    <cfRule type="containsText" dxfId="227" priority="504" operator="containsText" text="75">
      <formula>NOT(ISERROR(SEARCH("75",N187)))</formula>
    </cfRule>
    <cfRule type="containsText" dxfId="226" priority="503" operator="containsText" text="100">
      <formula>NOT(ISERROR(SEARCH("100",N187)))</formula>
    </cfRule>
    <cfRule type="containsText" dxfId="225" priority="502" operator="containsText" text="50">
      <formula>NOT(ISERROR(SEARCH("50",N187)))</formula>
    </cfRule>
    <cfRule type="containsText" dxfId="224" priority="501" operator="containsText" text="25">
      <formula>NOT(ISERROR(SEARCH("25",N187)))</formula>
    </cfRule>
  </conditionalFormatting>
  <conditionalFormatting sqref="N193">
    <cfRule type="containsText" dxfId="223" priority="505" operator="containsText" text="25">
      <formula>NOT(ISERROR(SEARCH("25",N193)))</formula>
    </cfRule>
    <cfRule type="containsText" dxfId="222" priority="506" operator="containsText" text="50">
      <formula>NOT(ISERROR(SEARCH("50",N193)))</formula>
    </cfRule>
    <cfRule type="containsText" dxfId="221" priority="508" operator="containsText" text="75">
      <formula>NOT(ISERROR(SEARCH("75",N193)))</formula>
    </cfRule>
    <cfRule type="containsText" dxfId="220" priority="507" operator="containsText" text="100">
      <formula>NOT(ISERROR(SEARCH("100",N193)))</formula>
    </cfRule>
  </conditionalFormatting>
  <conditionalFormatting sqref="N199">
    <cfRule type="containsText" dxfId="219" priority="509" operator="containsText" text="25">
      <formula>NOT(ISERROR(SEARCH("25",N199)))</formula>
    </cfRule>
    <cfRule type="containsText" dxfId="218" priority="512" operator="containsText" text="75">
      <formula>NOT(ISERROR(SEARCH("75",N199)))</formula>
    </cfRule>
    <cfRule type="containsText" dxfId="217" priority="511" operator="containsText" text="100">
      <formula>NOT(ISERROR(SEARCH("100",N199)))</formula>
    </cfRule>
    <cfRule type="containsText" dxfId="216" priority="510" operator="containsText" text="50">
      <formula>NOT(ISERROR(SEARCH("50",N199)))</formula>
    </cfRule>
  </conditionalFormatting>
  <conditionalFormatting sqref="N181:O181">
    <cfRule type="containsText" dxfId="215" priority="209" operator="containsText" text="25">
      <formula>NOT(ISERROR(SEARCH("25",N181)))</formula>
    </cfRule>
    <cfRule type="containsText" dxfId="214" priority="210" operator="containsText" text="50">
      <formula>NOT(ISERROR(SEARCH("50",N181)))</formula>
    </cfRule>
    <cfRule type="containsText" dxfId="213" priority="211" operator="containsText" text="100">
      <formula>NOT(ISERROR(SEARCH("100",N181)))</formula>
    </cfRule>
    <cfRule type="containsText" dxfId="212" priority="212" operator="containsText" text="75">
      <formula>NOT(ISERROR(SEARCH("75",N181)))</formula>
    </cfRule>
  </conditionalFormatting>
  <conditionalFormatting sqref="O120">
    <cfRule type="containsText" dxfId="211" priority="132" operator="containsText" text="75">
      <formula>NOT(ISERROR(SEARCH("75",O120)))</formula>
    </cfRule>
    <cfRule type="containsText" dxfId="210" priority="131" operator="containsText" text="100">
      <formula>NOT(ISERROR(SEARCH("100",O120)))</formula>
    </cfRule>
    <cfRule type="containsText" dxfId="209" priority="130" operator="containsText" text="50">
      <formula>NOT(ISERROR(SEARCH("50",O120)))</formula>
    </cfRule>
    <cfRule type="containsText" dxfId="208" priority="129" operator="containsText" text="25">
      <formula>NOT(ISERROR(SEARCH("25",O120)))</formula>
    </cfRule>
  </conditionalFormatting>
  <conditionalFormatting sqref="O126">
    <cfRule type="containsText" dxfId="207" priority="128" operator="containsText" text="75">
      <formula>NOT(ISERROR(SEARCH("75",O126)))</formula>
    </cfRule>
    <cfRule type="containsText" dxfId="206" priority="127" operator="containsText" text="100">
      <formula>NOT(ISERROR(SEARCH("100",O126)))</formula>
    </cfRule>
    <cfRule type="containsText" dxfId="205" priority="126" operator="containsText" text="50">
      <formula>NOT(ISERROR(SEARCH("50",O126)))</formula>
    </cfRule>
    <cfRule type="containsText" dxfId="204" priority="125" operator="containsText" text="25">
      <formula>NOT(ISERROR(SEARCH("25",O126)))</formula>
    </cfRule>
  </conditionalFormatting>
  <conditionalFormatting sqref="O132">
    <cfRule type="containsText" dxfId="203" priority="124" operator="containsText" text="75">
      <formula>NOT(ISERROR(SEARCH("75",O132)))</formula>
    </cfRule>
    <cfRule type="containsText" dxfId="202" priority="123" operator="containsText" text="100">
      <formula>NOT(ISERROR(SEARCH("100",O132)))</formula>
    </cfRule>
    <cfRule type="containsText" dxfId="201" priority="122" operator="containsText" text="50">
      <formula>NOT(ISERROR(SEARCH("50",O132)))</formula>
    </cfRule>
    <cfRule type="containsText" dxfId="200" priority="121" operator="containsText" text="25">
      <formula>NOT(ISERROR(SEARCH("25",O132)))</formula>
    </cfRule>
  </conditionalFormatting>
  <conditionalFormatting sqref="O144">
    <cfRule type="containsText" dxfId="199" priority="117" operator="containsText" text="25">
      <formula>NOT(ISERROR(SEARCH("25",O144)))</formula>
    </cfRule>
    <cfRule type="containsText" dxfId="198" priority="118" operator="containsText" text="50">
      <formula>NOT(ISERROR(SEARCH("50",O144)))</formula>
    </cfRule>
    <cfRule type="containsText" dxfId="197" priority="120" operator="containsText" text="75">
      <formula>NOT(ISERROR(SEARCH("75",O144)))</formula>
    </cfRule>
    <cfRule type="containsText" dxfId="196" priority="119" operator="containsText" text="100">
      <formula>NOT(ISERROR(SEARCH("100",O144)))</formula>
    </cfRule>
  </conditionalFormatting>
  <conditionalFormatting sqref="O150">
    <cfRule type="containsText" dxfId="195" priority="114" operator="containsText" text="50">
      <formula>NOT(ISERROR(SEARCH("50",O150)))</formula>
    </cfRule>
    <cfRule type="containsText" dxfId="194" priority="115" operator="containsText" text="100">
      <formula>NOT(ISERROR(SEARCH("100",O150)))</formula>
    </cfRule>
    <cfRule type="containsText" dxfId="193" priority="116" operator="containsText" text="75">
      <formula>NOT(ISERROR(SEARCH("75",O150)))</formula>
    </cfRule>
    <cfRule type="containsText" dxfId="192" priority="113" operator="containsText" text="25">
      <formula>NOT(ISERROR(SEARCH("25",O150)))</formula>
    </cfRule>
  </conditionalFormatting>
  <conditionalFormatting sqref="O162">
    <cfRule type="containsText" dxfId="191" priority="112" operator="containsText" text="75">
      <formula>NOT(ISERROR(SEARCH("75",O162)))</formula>
    </cfRule>
    <cfRule type="containsText" dxfId="190" priority="111" operator="containsText" text="100">
      <formula>NOT(ISERROR(SEARCH("100",O162)))</formula>
    </cfRule>
    <cfRule type="containsText" dxfId="189" priority="110" operator="containsText" text="50">
      <formula>NOT(ISERROR(SEARCH("50",O162)))</formula>
    </cfRule>
    <cfRule type="containsText" dxfId="188" priority="109" operator="containsText" text="25">
      <formula>NOT(ISERROR(SEARCH("25",O162)))</formula>
    </cfRule>
  </conditionalFormatting>
  <conditionalFormatting sqref="O168">
    <cfRule type="containsText" dxfId="187" priority="173" operator="containsText" text="25">
      <formula>NOT(ISERROR(SEARCH("25",O168)))</formula>
    </cfRule>
    <cfRule type="containsText" dxfId="186" priority="176" operator="containsText" text="75">
      <formula>NOT(ISERROR(SEARCH("75",O168)))</formula>
    </cfRule>
    <cfRule type="containsText" dxfId="185" priority="175" operator="containsText" text="100">
      <formula>NOT(ISERROR(SEARCH("100",O168)))</formula>
    </cfRule>
    <cfRule type="containsText" dxfId="184" priority="174" operator="containsText" text="50">
      <formula>NOT(ISERROR(SEARCH("50",O168)))</formula>
    </cfRule>
  </conditionalFormatting>
  <conditionalFormatting sqref="O174">
    <cfRule type="containsText" dxfId="183" priority="180" operator="containsText" text="75">
      <formula>NOT(ISERROR(SEARCH("75",O174)))</formula>
    </cfRule>
    <cfRule type="containsText" dxfId="182" priority="178" operator="containsText" text="50">
      <formula>NOT(ISERROR(SEARCH("50",O174)))</formula>
    </cfRule>
    <cfRule type="containsText" dxfId="181" priority="179" operator="containsText" text="100">
      <formula>NOT(ISERROR(SEARCH("100",O174)))</formula>
    </cfRule>
    <cfRule type="containsText" dxfId="180" priority="177" operator="containsText" text="25">
      <formula>NOT(ISERROR(SEARCH("25",O174)))</formula>
    </cfRule>
  </conditionalFormatting>
  <conditionalFormatting sqref="O186">
    <cfRule type="containsText" dxfId="179" priority="215" operator="containsText" text="100">
      <formula>NOT(ISERROR(SEARCH("100",O186)))</formula>
    </cfRule>
    <cfRule type="containsText" dxfId="178" priority="214" operator="containsText" text="50">
      <formula>NOT(ISERROR(SEARCH("50",O186)))</formula>
    </cfRule>
    <cfRule type="containsText" dxfId="177" priority="213" operator="containsText" text="25">
      <formula>NOT(ISERROR(SEARCH("25",O186)))</formula>
    </cfRule>
    <cfRule type="containsText" dxfId="176" priority="216" operator="containsText" text="75">
      <formula>NOT(ISERROR(SEARCH("75",O186)))</formula>
    </cfRule>
  </conditionalFormatting>
  <conditionalFormatting sqref="O192">
    <cfRule type="containsText" dxfId="175" priority="182" operator="containsText" text="50">
      <formula>NOT(ISERROR(SEARCH("50",O192)))</formula>
    </cfRule>
    <cfRule type="containsText" dxfId="174" priority="183" operator="containsText" text="100">
      <formula>NOT(ISERROR(SEARCH("100",O192)))</formula>
    </cfRule>
    <cfRule type="containsText" dxfId="173" priority="184" operator="containsText" text="75">
      <formula>NOT(ISERROR(SEARCH("75",O192)))</formula>
    </cfRule>
    <cfRule type="containsText" dxfId="172" priority="181" operator="containsText" text="25">
      <formula>NOT(ISERROR(SEARCH("25",O192)))</formula>
    </cfRule>
  </conditionalFormatting>
  <conditionalFormatting sqref="O198">
    <cfRule type="containsText" dxfId="171" priority="207" operator="containsText" text="100">
      <formula>NOT(ISERROR(SEARCH("100",O198)))</formula>
    </cfRule>
    <cfRule type="containsText" dxfId="170" priority="208" operator="containsText" text="75">
      <formula>NOT(ISERROR(SEARCH("75",O198)))</formula>
    </cfRule>
    <cfRule type="containsText" dxfId="169" priority="206" operator="containsText" text="50">
      <formula>NOT(ISERROR(SEARCH("50",O198)))</formula>
    </cfRule>
    <cfRule type="containsText" dxfId="168" priority="205" operator="containsText" text="25">
      <formula>NOT(ISERROR(SEARCH("25",O198)))</formula>
    </cfRule>
  </conditionalFormatting>
  <conditionalFormatting sqref="O16:BJ16 C17:P19 S17:BJ19">
    <cfRule type="containsText" dxfId="167" priority="221" operator="containsText" text="25">
      <formula>NOT(ISERROR(SEARCH("25",C16)))</formula>
    </cfRule>
  </conditionalFormatting>
  <conditionalFormatting sqref="O112:P114 S112:BJ114">
    <cfRule type="containsText" dxfId="166" priority="133" operator="containsText" text="25">
      <formula>NOT(ISERROR(SEARCH("25",O112)))</formula>
    </cfRule>
    <cfRule type="containsText" dxfId="165" priority="134" operator="containsText" text="50">
      <formula>NOT(ISERROR(SEARCH("50",O112)))</formula>
    </cfRule>
  </conditionalFormatting>
  <conditionalFormatting sqref="O114:P114 S114:BJ114">
    <cfRule type="containsText" dxfId="164" priority="135" operator="containsText" text="100">
      <formula>NOT(ISERROR(SEARCH("100",O114)))</formula>
    </cfRule>
    <cfRule type="containsText" dxfId="163" priority="136" operator="containsText" text="75">
      <formula>NOT(ISERROR(SEARCH("75",O114)))</formula>
    </cfRule>
  </conditionalFormatting>
  <conditionalFormatting sqref="R4">
    <cfRule type="containsText" dxfId="162" priority="101" operator="containsText" text="25">
      <formula>NOT(ISERROR(SEARCH("25",R4)))</formula>
    </cfRule>
    <cfRule type="containsText" dxfId="161" priority="102" operator="containsText" text="50">
      <formula>NOT(ISERROR(SEARCH("50",R4)))</formula>
    </cfRule>
    <cfRule type="containsText" dxfId="160" priority="103" operator="containsText" text="100">
      <formula>NOT(ISERROR(SEARCH("100",R4)))</formula>
    </cfRule>
    <cfRule type="containsText" dxfId="159" priority="104" operator="containsText" text="75">
      <formula>NOT(ISERROR(SEARCH("75",R4)))</formula>
    </cfRule>
  </conditionalFormatting>
  <conditionalFormatting sqref="R19">
    <cfRule type="containsText" dxfId="158" priority="98" operator="containsText" text="50">
      <formula>NOT(ISERROR(SEARCH("50",R19)))</formula>
    </cfRule>
    <cfRule type="containsText" dxfId="157" priority="97" operator="containsText" text="25">
      <formula>NOT(ISERROR(SEARCH("25",R19)))</formula>
    </cfRule>
    <cfRule type="containsText" dxfId="156" priority="99" operator="containsText" text="100">
      <formula>NOT(ISERROR(SEARCH("100",R19)))</formula>
    </cfRule>
    <cfRule type="containsText" dxfId="155" priority="100" operator="containsText" text="75">
      <formula>NOT(ISERROR(SEARCH("75",R19)))</formula>
    </cfRule>
  </conditionalFormatting>
  <conditionalFormatting sqref="R43">
    <cfRule type="containsText" dxfId="154" priority="108" operator="containsText" text="75">
      <formula>NOT(ISERROR(SEARCH("75",R43)))</formula>
    </cfRule>
    <cfRule type="containsText" dxfId="153" priority="107" operator="containsText" text="100">
      <formula>NOT(ISERROR(SEARCH("100",R43)))</formula>
    </cfRule>
    <cfRule type="containsText" dxfId="152" priority="106" operator="containsText" text="50">
      <formula>NOT(ISERROR(SEARCH("50",R43)))</formula>
    </cfRule>
    <cfRule type="containsText" dxfId="151" priority="105" operator="containsText" text="25">
      <formula>NOT(ISERROR(SEARCH("25",R43)))</formula>
    </cfRule>
  </conditionalFormatting>
  <conditionalFormatting sqref="R55">
    <cfRule type="containsText" dxfId="150" priority="93" operator="containsText" text="25">
      <formula>NOT(ISERROR(SEARCH("25",R55)))</formula>
    </cfRule>
    <cfRule type="containsText" dxfId="149" priority="95" operator="containsText" text="100">
      <formula>NOT(ISERROR(SEARCH("100",R55)))</formula>
    </cfRule>
    <cfRule type="containsText" dxfId="148" priority="96" operator="containsText" text="75">
      <formula>NOT(ISERROR(SEARCH("75",R55)))</formula>
    </cfRule>
    <cfRule type="containsText" dxfId="147" priority="94" operator="containsText" text="50">
      <formula>NOT(ISERROR(SEARCH("50",R55)))</formula>
    </cfRule>
  </conditionalFormatting>
  <conditionalFormatting sqref="R103">
    <cfRule type="containsText" dxfId="146" priority="88" operator="containsText" text="75">
      <formula>NOT(ISERROR(SEARCH("75",R103)))</formula>
    </cfRule>
    <cfRule type="containsText" dxfId="145" priority="87" operator="containsText" text="100">
      <formula>NOT(ISERROR(SEARCH("100",R103)))</formula>
    </cfRule>
    <cfRule type="containsText" dxfId="144" priority="86" operator="containsText" text="50">
      <formula>NOT(ISERROR(SEARCH("50",R103)))</formula>
    </cfRule>
    <cfRule type="containsText" dxfId="143" priority="85" operator="containsText" text="25">
      <formula>NOT(ISERROR(SEARCH("25",R103)))</formula>
    </cfRule>
  </conditionalFormatting>
  <conditionalFormatting sqref="R127">
    <cfRule type="containsText" dxfId="142" priority="92" operator="containsText" text="75">
      <formula>NOT(ISERROR(SEARCH("75",R127)))</formula>
    </cfRule>
    <cfRule type="containsText" dxfId="141" priority="91" operator="containsText" text="100">
      <formula>NOT(ISERROR(SEARCH("100",R127)))</formula>
    </cfRule>
    <cfRule type="containsText" dxfId="140" priority="89" operator="containsText" text="25">
      <formula>NOT(ISERROR(SEARCH("25",R127)))</formula>
    </cfRule>
    <cfRule type="containsText" dxfId="139" priority="90" operator="containsText" text="50">
      <formula>NOT(ISERROR(SEARCH("50",R127)))</formula>
    </cfRule>
  </conditionalFormatting>
  <conditionalFormatting sqref="R82:BJ82 O82:P84 S83:BJ84">
    <cfRule type="containsText" dxfId="138" priority="172" operator="containsText" text="75">
      <formula>NOT(ISERROR(SEARCH("75",O82)))</formula>
    </cfRule>
    <cfRule type="containsText" dxfId="137" priority="170" operator="containsText" text="50">
      <formula>NOT(ISERROR(SEARCH("50",O82)))</formula>
    </cfRule>
    <cfRule type="containsText" dxfId="136" priority="171" operator="containsText" text="100">
      <formula>NOT(ISERROR(SEARCH("100",O82)))</formula>
    </cfRule>
    <cfRule type="containsText" dxfId="135" priority="169" operator="containsText" text="25">
      <formula>NOT(ISERROR(SEARCH("25",O82)))</formula>
    </cfRule>
  </conditionalFormatting>
  <conditionalFormatting sqref="S23:BJ24 C24:P25 R25:BJ25 C26:BJ27">
    <cfRule type="containsText" dxfId="134" priority="217" operator="containsText" text="25">
      <formula>NOT(ISERROR(SEARCH("25",C23)))</formula>
    </cfRule>
    <cfRule type="containsText" dxfId="133" priority="218" operator="containsText" text="50">
      <formula>NOT(ISERROR(SEARCH("50",C23)))</formula>
    </cfRule>
    <cfRule type="containsText" dxfId="132" priority="219" operator="containsText" text="100">
      <formula>NOT(ISERROR(SEARCH("100",C23)))</formula>
    </cfRule>
    <cfRule type="containsText" dxfId="131" priority="220" operator="containsText" text="75">
      <formula>NOT(ISERROR(SEARCH("75",C23)))</formula>
    </cfRule>
  </conditionalFormatting>
  <conditionalFormatting sqref="S35:BJ36 C36:P37 R37:BJ37 C38:BJ39">
    <cfRule type="containsText" dxfId="130" priority="197" operator="containsText" text="25">
      <formula>NOT(ISERROR(SEARCH("25",C35)))</formula>
    </cfRule>
    <cfRule type="containsText" dxfId="129" priority="198" operator="containsText" text="50">
      <formula>NOT(ISERROR(SEARCH("50",C35)))</formula>
    </cfRule>
    <cfRule type="containsText" dxfId="128" priority="200" operator="containsText" text="75">
      <formula>NOT(ISERROR(SEARCH("75",C35)))</formula>
    </cfRule>
    <cfRule type="containsText" dxfId="127" priority="199" operator="containsText" text="100">
      <formula>NOT(ISERROR(SEARCH("100",C35)))</formula>
    </cfRule>
  </conditionalFormatting>
  <conditionalFormatting sqref="S40:BJ43 C42:P43 C44:BJ45">
    <cfRule type="containsText" dxfId="126" priority="193" operator="containsText" text="25">
      <formula>NOT(ISERROR(SEARCH("25",C40)))</formula>
    </cfRule>
    <cfRule type="containsText" dxfId="125" priority="194" operator="containsText" text="50">
      <formula>NOT(ISERROR(SEARCH("50",C40)))</formula>
    </cfRule>
    <cfRule type="containsText" dxfId="124" priority="195" operator="containsText" text="100">
      <formula>NOT(ISERROR(SEARCH("100",C40)))</formula>
    </cfRule>
    <cfRule type="containsText" dxfId="123" priority="196" operator="containsText" text="75">
      <formula>NOT(ISERROR(SEARCH("75",C40)))</formula>
    </cfRule>
  </conditionalFormatting>
  <conditionalFormatting sqref="S47:BJ48 C48:P49 R49:BJ49 C50:BJ51">
    <cfRule type="containsText" dxfId="122" priority="192" operator="containsText" text="75">
      <formula>NOT(ISERROR(SEARCH("75",C47)))</formula>
    </cfRule>
    <cfRule type="containsText" dxfId="121" priority="191" operator="containsText" text="100">
      <formula>NOT(ISERROR(SEARCH("100",C47)))</formula>
    </cfRule>
    <cfRule type="containsText" dxfId="120" priority="190" operator="containsText" text="50">
      <formula>NOT(ISERROR(SEARCH("50",C47)))</formula>
    </cfRule>
    <cfRule type="containsText" dxfId="119" priority="189" operator="containsText" text="25">
      <formula>NOT(ISERROR(SEARCH("25",C47)))</formula>
    </cfRule>
  </conditionalFormatting>
  <conditionalFormatting sqref="S52:BJ55 C54:P55 C56:BJ57">
    <cfRule type="containsText" dxfId="118" priority="188" operator="containsText" text="75">
      <formula>NOT(ISERROR(SEARCH("75",C52)))</formula>
    </cfRule>
    <cfRule type="containsText" dxfId="117" priority="185" operator="containsText" text="25">
      <formula>NOT(ISERROR(SEARCH("25",C52)))</formula>
    </cfRule>
    <cfRule type="containsText" dxfId="116" priority="186" operator="containsText" text="50">
      <formula>NOT(ISERROR(SEARCH("50",C52)))</formula>
    </cfRule>
    <cfRule type="containsText" dxfId="115" priority="187" operator="containsText" text="100">
      <formula>NOT(ISERROR(SEARCH("100",C52)))</formula>
    </cfRule>
  </conditionalFormatting>
  <conditionalFormatting sqref="S89:BJ90 C90:P91 R91:BJ91 C92:BJ93">
    <cfRule type="containsText" dxfId="114" priority="149" operator="containsText" text="25">
      <formula>NOT(ISERROR(SEARCH("25",C89)))</formula>
    </cfRule>
    <cfRule type="containsText" dxfId="113" priority="152" operator="containsText" text="75">
      <formula>NOT(ISERROR(SEARCH("75",C89)))</formula>
    </cfRule>
    <cfRule type="containsText" dxfId="112" priority="151" operator="containsText" text="100">
      <formula>NOT(ISERROR(SEARCH("100",C89)))</formula>
    </cfRule>
    <cfRule type="containsText" dxfId="111" priority="150" operator="containsText" text="50">
      <formula>NOT(ISERROR(SEARCH("50",C89)))</formula>
    </cfRule>
  </conditionalFormatting>
  <conditionalFormatting sqref="S95:BJ96 C96:P97 R97:BJ97 C98:BJ99">
    <cfRule type="containsText" dxfId="110" priority="148" operator="containsText" text="75">
      <formula>NOT(ISERROR(SEARCH("75",C95)))</formula>
    </cfRule>
    <cfRule type="containsText" dxfId="109" priority="147" operator="containsText" text="100">
      <formula>NOT(ISERROR(SEARCH("100",C95)))</formula>
    </cfRule>
    <cfRule type="containsText" dxfId="108" priority="146" operator="containsText" text="50">
      <formula>NOT(ISERROR(SEARCH("50",C95)))</formula>
    </cfRule>
    <cfRule type="containsText" dxfId="107" priority="145" operator="containsText" text="25">
      <formula>NOT(ISERROR(SEARCH("25",C95)))</formula>
    </cfRule>
  </conditionalFormatting>
  <conditionalFormatting sqref="S101:BJ103 C102:P103 C104:BJ105">
    <cfRule type="containsText" dxfId="106" priority="144" operator="containsText" text="75">
      <formula>NOT(ISERROR(SEARCH("75",C101)))</formula>
    </cfRule>
    <cfRule type="containsText" dxfId="105" priority="142" operator="containsText" text="50">
      <formula>NOT(ISERROR(SEARCH("50",C101)))</formula>
    </cfRule>
    <cfRule type="containsText" dxfId="104" priority="141" operator="containsText" text="25">
      <formula>NOT(ISERROR(SEARCH("25",C101)))</formula>
    </cfRule>
    <cfRule type="containsText" dxfId="103" priority="143" operator="containsText" text="100">
      <formula>NOT(ISERROR(SEARCH("100",C101)))</formula>
    </cfRule>
  </conditionalFormatting>
  <conditionalFormatting sqref="S107:BJ108 C108:P109 R109:BJ109 C110:BJ110">
    <cfRule type="containsText" dxfId="102" priority="137" operator="containsText" text="25">
      <formula>NOT(ISERROR(SEARCH("25",C107)))</formula>
    </cfRule>
    <cfRule type="containsText" dxfId="101" priority="140" operator="containsText" text="75">
      <formula>NOT(ISERROR(SEARCH("75",C107)))</formula>
    </cfRule>
    <cfRule type="containsText" dxfId="100" priority="139" operator="containsText" text="100">
      <formula>NOT(ISERROR(SEARCH("100",C107)))</formula>
    </cfRule>
    <cfRule type="containsText" dxfId="99" priority="138" operator="containsText" text="50">
      <formula>NOT(ISERROR(SEARCH("50",C107)))</formula>
    </cfRule>
  </conditionalFormatting>
  <conditionalFormatting sqref="BK3:BK219">
    <cfRule type="cellIs" dxfId="98" priority="2161" operator="between">
      <formula>0</formula>
      <formula>40</formula>
    </cfRule>
    <cfRule type="cellIs" dxfId="97" priority="2162" operator="between">
      <formula>40</formula>
      <formula>70</formula>
    </cfRule>
    <cfRule type="cellIs" dxfId="96" priority="2163" operator="between">
      <formula>70</formula>
      <formula>100</formula>
    </cfRule>
  </conditionalFormatting>
  <conditionalFormatting sqref="BL3:BR115 C16:K16 C61:I61 K84 M84 BM116:BR116 BL116:BL215 O16:BJ16">
    <cfRule type="containsText" dxfId="95" priority="2173" operator="containsText" text="50">
      <formula>NOT(ISERROR(SEARCH("50",C3)))</formula>
    </cfRule>
  </conditionalFormatting>
  <conditionalFormatting sqref="BL3:BR115 C16:K16 C61:I61 K84 M84 BM116:BR116 BL116:BL215">
    <cfRule type="containsText" dxfId="94" priority="2172" operator="containsText" text="25">
      <formula>NOT(ISERROR(SEARCH("25",C3)))</formula>
    </cfRule>
  </conditionalFormatting>
  <conditionalFormatting sqref="BL3:BR115 C16:K16 O16:BJ16 C61:I61 K84 M84 BM116:BR116 BL116:BL215">
    <cfRule type="containsText" dxfId="93" priority="2174" operator="containsText" text="100">
      <formula>NOT(ISERROR(SEARCH("100",C3)))</formula>
    </cfRule>
    <cfRule type="containsText" dxfId="92" priority="2175" operator="containsText" text="75">
      <formula>NOT(ISERROR(SEARCH("75",C3)))</formula>
    </cfRule>
  </conditionalFormatting>
  <conditionalFormatting sqref="BO3:BO38">
    <cfRule type="containsText" dxfId="91" priority="2168" operator="containsText" text="25">
      <formula>NOT(ISERROR(SEARCH("25",BO3)))</formula>
    </cfRule>
    <cfRule type="containsText" dxfId="90" priority="2169" operator="containsText" text="50">
      <formula>NOT(ISERROR(SEARCH("50",BO3)))</formula>
    </cfRule>
    <cfRule type="containsText" dxfId="89" priority="2170" operator="containsText" text="100">
      <formula>NOT(ISERROR(SEARCH("100",BO3)))</formula>
    </cfRule>
    <cfRule type="containsText" dxfId="88" priority="2171" operator="containsText" text="75">
      <formula>NOT(ISERROR(SEARCH("75",BO3)))</formula>
    </cfRule>
  </conditionalFormatting>
  <conditionalFormatting sqref="BQ3:BQ38">
    <cfRule type="containsText" dxfId="87" priority="2164" operator="containsText" text="25">
      <formula>NOT(ISERROR(SEARCH("25",BQ3)))</formula>
    </cfRule>
    <cfRule type="containsText" dxfId="86" priority="2165" operator="containsText" text="50">
      <formula>NOT(ISERROR(SEARCH("50",BQ3)))</formula>
    </cfRule>
    <cfRule type="containsText" dxfId="85" priority="2166" operator="containsText" text="100">
      <formula>NOT(ISERROR(SEARCH("100",BQ3)))</formula>
    </cfRule>
    <cfRule type="containsText" dxfId="84" priority="2167" operator="containsText" text="75">
      <formula>NOT(ISERROR(SEARCH("75",BQ3)))</formula>
    </cfRule>
  </conditionalFormatting>
  <conditionalFormatting sqref="R13">
    <cfRule type="containsText" dxfId="80" priority="81" operator="containsText" text="25">
      <formula>NOT(ISERROR(SEARCH("25",R13)))</formula>
    </cfRule>
    <cfRule type="containsText" dxfId="81" priority="82" operator="containsText" text="50">
      <formula>NOT(ISERROR(SEARCH("50",R13)))</formula>
    </cfRule>
    <cfRule type="containsText" dxfId="83" priority="83" operator="containsText" text="100">
      <formula>NOT(ISERROR(SEARCH("100",R13)))</formula>
    </cfRule>
    <cfRule type="containsText" dxfId="82" priority="84" operator="containsText" text="75">
      <formula>NOT(ISERROR(SEARCH("75",R13)))</formula>
    </cfRule>
  </conditionalFormatting>
  <conditionalFormatting sqref="R10">
    <cfRule type="containsText" dxfId="79" priority="77" operator="containsText" text="25">
      <formula>NOT(ISERROR(SEARCH("25",R10)))</formula>
    </cfRule>
    <cfRule type="containsText" dxfId="78" priority="78" operator="containsText" text="50">
      <formula>NOT(ISERROR(SEARCH("50",R10)))</formula>
    </cfRule>
    <cfRule type="containsText" dxfId="77" priority="79" operator="containsText" text="100">
      <formula>NOT(ISERROR(SEARCH("100",R10)))</formula>
    </cfRule>
    <cfRule type="containsText" dxfId="76" priority="80" operator="containsText" text="75">
      <formula>NOT(ISERROR(SEARCH("75",R10)))</formula>
    </cfRule>
  </conditionalFormatting>
  <conditionalFormatting sqref="R31">
    <cfRule type="containsText" dxfId="72" priority="73" operator="containsText" text="25">
      <formula>NOT(ISERROR(SEARCH("25",R31)))</formula>
    </cfRule>
    <cfRule type="containsText" dxfId="73" priority="74" operator="containsText" text="50">
      <formula>NOT(ISERROR(SEARCH("50",R31)))</formula>
    </cfRule>
    <cfRule type="containsText" dxfId="74" priority="75" operator="containsText" text="100">
      <formula>NOT(ISERROR(SEARCH("100",R31)))</formula>
    </cfRule>
    <cfRule type="containsText" dxfId="75" priority="76" operator="containsText" text="75">
      <formula>NOT(ISERROR(SEARCH("75",R31)))</formula>
    </cfRule>
  </conditionalFormatting>
  <conditionalFormatting sqref="R61">
    <cfRule type="containsText" dxfId="71" priority="69" operator="containsText" text="25">
      <formula>NOT(ISERROR(SEARCH("25",R61)))</formula>
    </cfRule>
    <cfRule type="containsText" dxfId="68" priority="70" operator="containsText" text="50">
      <formula>NOT(ISERROR(SEARCH("50",R61)))</formula>
    </cfRule>
    <cfRule type="containsText" dxfId="70" priority="71" operator="containsText" text="100">
      <formula>NOT(ISERROR(SEARCH("100",R61)))</formula>
    </cfRule>
    <cfRule type="containsText" dxfId="69" priority="72" operator="containsText" text="75">
      <formula>NOT(ISERROR(SEARCH("75",R61)))</formula>
    </cfRule>
  </conditionalFormatting>
  <conditionalFormatting sqref="R64">
    <cfRule type="containsText" dxfId="65" priority="65" operator="containsText" text="25">
      <formula>NOT(ISERROR(SEARCH("25",R64)))</formula>
    </cfRule>
    <cfRule type="containsText" dxfId="64" priority="66" operator="containsText" text="50">
      <formula>NOT(ISERROR(SEARCH("50",R64)))</formula>
    </cfRule>
    <cfRule type="containsText" dxfId="66" priority="67" operator="containsText" text="100">
      <formula>NOT(ISERROR(SEARCH("100",R64)))</formula>
    </cfRule>
    <cfRule type="containsText" dxfId="67" priority="68" operator="containsText" text="75">
      <formula>NOT(ISERROR(SEARCH("75",R64)))</formula>
    </cfRule>
  </conditionalFormatting>
  <conditionalFormatting sqref="R67">
    <cfRule type="containsText" dxfId="63" priority="61" operator="containsText" text="25">
      <formula>NOT(ISERROR(SEARCH("25",R67)))</formula>
    </cfRule>
    <cfRule type="containsText" dxfId="60" priority="62" operator="containsText" text="50">
      <formula>NOT(ISERROR(SEARCH("50",R67)))</formula>
    </cfRule>
    <cfRule type="containsText" dxfId="62" priority="63" operator="containsText" text="100">
      <formula>NOT(ISERROR(SEARCH("100",R67)))</formula>
    </cfRule>
    <cfRule type="containsText" dxfId="61" priority="64" operator="containsText" text="75">
      <formula>NOT(ISERROR(SEARCH("75",R67)))</formula>
    </cfRule>
  </conditionalFormatting>
  <conditionalFormatting sqref="R73">
    <cfRule type="containsText" dxfId="59" priority="57" operator="containsText" text="25">
      <formula>NOT(ISERROR(SEARCH("25",R73)))</formula>
    </cfRule>
    <cfRule type="containsText" dxfId="58" priority="58" operator="containsText" text="50">
      <formula>NOT(ISERROR(SEARCH("50",R73)))</formula>
    </cfRule>
    <cfRule type="containsText" dxfId="57" priority="59" operator="containsText" text="100">
      <formula>NOT(ISERROR(SEARCH("100",R73)))</formula>
    </cfRule>
    <cfRule type="containsText" dxfId="56" priority="60" operator="containsText" text="75">
      <formula>NOT(ISERROR(SEARCH("75",R73)))</formula>
    </cfRule>
  </conditionalFormatting>
  <conditionalFormatting sqref="R76">
    <cfRule type="containsText" dxfId="52" priority="53" operator="containsText" text="25">
      <formula>NOT(ISERROR(SEARCH("25",R76)))</formula>
    </cfRule>
    <cfRule type="containsText" dxfId="53" priority="54" operator="containsText" text="50">
      <formula>NOT(ISERROR(SEARCH("50",R76)))</formula>
    </cfRule>
    <cfRule type="containsText" dxfId="54" priority="55" operator="containsText" text="100">
      <formula>NOT(ISERROR(SEARCH("100",R76)))</formula>
    </cfRule>
    <cfRule type="containsText" dxfId="55" priority="56" operator="containsText" text="75">
      <formula>NOT(ISERROR(SEARCH("75",R76)))</formula>
    </cfRule>
  </conditionalFormatting>
  <conditionalFormatting sqref="R79">
    <cfRule type="containsText" dxfId="48" priority="49" operator="containsText" text="25">
      <formula>NOT(ISERROR(SEARCH("25",R79)))</formula>
    </cfRule>
    <cfRule type="containsText" dxfId="49" priority="50" operator="containsText" text="50">
      <formula>NOT(ISERROR(SEARCH("50",R79)))</formula>
    </cfRule>
    <cfRule type="containsText" dxfId="50" priority="51" operator="containsText" text="100">
      <formula>NOT(ISERROR(SEARCH("100",R79)))</formula>
    </cfRule>
    <cfRule type="containsText" dxfId="51" priority="52" operator="containsText" text="75">
      <formula>NOT(ISERROR(SEARCH("75",R79)))</formula>
    </cfRule>
  </conditionalFormatting>
  <conditionalFormatting sqref="R112">
    <cfRule type="containsText" dxfId="44" priority="45" operator="containsText" text="25">
      <formula>NOT(ISERROR(SEARCH("25",R112)))</formula>
    </cfRule>
    <cfRule type="containsText" dxfId="45" priority="46" operator="containsText" text="50">
      <formula>NOT(ISERROR(SEARCH("50",R112)))</formula>
    </cfRule>
    <cfRule type="containsText" dxfId="46" priority="47" operator="containsText" text="100">
      <formula>NOT(ISERROR(SEARCH("100",R112)))</formula>
    </cfRule>
    <cfRule type="containsText" dxfId="47" priority="48" operator="containsText" text="75">
      <formula>NOT(ISERROR(SEARCH("75",R112)))</formula>
    </cfRule>
  </conditionalFormatting>
  <conditionalFormatting sqref="R115">
    <cfRule type="containsText" dxfId="40" priority="41" operator="containsText" text="25">
      <formula>NOT(ISERROR(SEARCH("25",R115)))</formula>
    </cfRule>
    <cfRule type="containsText" dxfId="41" priority="42" operator="containsText" text="50">
      <formula>NOT(ISERROR(SEARCH("50",R115)))</formula>
    </cfRule>
    <cfRule type="containsText" dxfId="42" priority="43" operator="containsText" text="100">
      <formula>NOT(ISERROR(SEARCH("100",R115)))</formula>
    </cfRule>
    <cfRule type="containsText" dxfId="43" priority="44" operator="containsText" text="75">
      <formula>NOT(ISERROR(SEARCH("75",R115)))</formula>
    </cfRule>
  </conditionalFormatting>
  <conditionalFormatting sqref="R118">
    <cfRule type="containsText" dxfId="36" priority="37" operator="containsText" text="25">
      <formula>NOT(ISERROR(SEARCH("25",R118)))</formula>
    </cfRule>
    <cfRule type="containsText" dxfId="37" priority="38" operator="containsText" text="50">
      <formula>NOT(ISERROR(SEARCH("50",R118)))</formula>
    </cfRule>
    <cfRule type="containsText" dxfId="38" priority="39" operator="containsText" text="100">
      <formula>NOT(ISERROR(SEARCH("100",R118)))</formula>
    </cfRule>
    <cfRule type="containsText" dxfId="39" priority="40" operator="containsText" text="75">
      <formula>NOT(ISERROR(SEARCH("75",R118)))</formula>
    </cfRule>
  </conditionalFormatting>
  <conditionalFormatting sqref="R121">
    <cfRule type="containsText" dxfId="32" priority="33" operator="containsText" text="25">
      <formula>NOT(ISERROR(SEARCH("25",R121)))</formula>
    </cfRule>
    <cfRule type="containsText" dxfId="33" priority="34" operator="containsText" text="50">
      <formula>NOT(ISERROR(SEARCH("50",R121)))</formula>
    </cfRule>
    <cfRule type="containsText" dxfId="34" priority="35" operator="containsText" text="100">
      <formula>NOT(ISERROR(SEARCH("100",R121)))</formula>
    </cfRule>
    <cfRule type="containsText" dxfId="35" priority="36" operator="containsText" text="75">
      <formula>NOT(ISERROR(SEARCH("75",R121)))</formula>
    </cfRule>
  </conditionalFormatting>
  <conditionalFormatting sqref="R166">
    <cfRule type="containsText" dxfId="28" priority="29" operator="containsText" text="25">
      <formula>NOT(ISERROR(SEARCH("25",R166)))</formula>
    </cfRule>
    <cfRule type="containsText" dxfId="29" priority="30" operator="containsText" text="50">
      <formula>NOT(ISERROR(SEARCH("50",R166)))</formula>
    </cfRule>
    <cfRule type="containsText" dxfId="30" priority="31" operator="containsText" text="100">
      <formula>NOT(ISERROR(SEARCH("100",R166)))</formula>
    </cfRule>
    <cfRule type="containsText" dxfId="31" priority="32" operator="containsText" text="75">
      <formula>NOT(ISERROR(SEARCH("75",R166)))</formula>
    </cfRule>
  </conditionalFormatting>
  <conditionalFormatting sqref="R169">
    <cfRule type="containsText" dxfId="24" priority="25" operator="containsText" text="25">
      <formula>NOT(ISERROR(SEARCH("25",R169)))</formula>
    </cfRule>
    <cfRule type="containsText" dxfId="25" priority="26" operator="containsText" text="50">
      <formula>NOT(ISERROR(SEARCH("50",R169)))</formula>
    </cfRule>
    <cfRule type="containsText" dxfId="26" priority="27" operator="containsText" text="100">
      <formula>NOT(ISERROR(SEARCH("100",R169)))</formula>
    </cfRule>
    <cfRule type="containsText" dxfId="27" priority="28" operator="containsText" text="75">
      <formula>NOT(ISERROR(SEARCH("75",R169)))</formula>
    </cfRule>
  </conditionalFormatting>
  <conditionalFormatting sqref="R172">
    <cfRule type="containsText" dxfId="20" priority="21" operator="containsText" text="25">
      <formula>NOT(ISERROR(SEARCH("25",R172)))</formula>
    </cfRule>
    <cfRule type="containsText" dxfId="21" priority="22" operator="containsText" text="50">
      <formula>NOT(ISERROR(SEARCH("50",R172)))</formula>
    </cfRule>
    <cfRule type="containsText" dxfId="22" priority="23" operator="containsText" text="100">
      <formula>NOT(ISERROR(SEARCH("100",R172)))</formula>
    </cfRule>
    <cfRule type="containsText" dxfId="23" priority="24" operator="containsText" text="75">
      <formula>NOT(ISERROR(SEARCH("75",R172)))</formula>
    </cfRule>
  </conditionalFormatting>
  <conditionalFormatting sqref="R175">
    <cfRule type="containsText" dxfId="16" priority="17" operator="containsText" text="25">
      <formula>NOT(ISERROR(SEARCH("25",R175)))</formula>
    </cfRule>
    <cfRule type="containsText" dxfId="17" priority="18" operator="containsText" text="50">
      <formula>NOT(ISERROR(SEARCH("50",R175)))</formula>
    </cfRule>
    <cfRule type="containsText" dxfId="18" priority="19" operator="containsText" text="100">
      <formula>NOT(ISERROR(SEARCH("100",R175)))</formula>
    </cfRule>
    <cfRule type="containsText" dxfId="19" priority="20" operator="containsText" text="75">
      <formula>NOT(ISERROR(SEARCH("75",R175)))</formula>
    </cfRule>
  </conditionalFormatting>
  <conditionalFormatting sqref="R178">
    <cfRule type="containsText" dxfId="12" priority="13" operator="containsText" text="25">
      <formula>NOT(ISERROR(SEARCH("25",R178)))</formula>
    </cfRule>
    <cfRule type="containsText" dxfId="13" priority="14" operator="containsText" text="50">
      <formula>NOT(ISERROR(SEARCH("50",R178)))</formula>
    </cfRule>
    <cfRule type="containsText" dxfId="14" priority="15" operator="containsText" text="100">
      <formula>NOT(ISERROR(SEARCH("100",R178)))</formula>
    </cfRule>
    <cfRule type="containsText" dxfId="15" priority="16" operator="containsText" text="75">
      <formula>NOT(ISERROR(SEARCH("75",R178)))</formula>
    </cfRule>
  </conditionalFormatting>
  <conditionalFormatting sqref="R181">
    <cfRule type="containsText" dxfId="8" priority="9" operator="containsText" text="25">
      <formula>NOT(ISERROR(SEARCH("25",R181)))</formula>
    </cfRule>
    <cfRule type="containsText" dxfId="9" priority="10" operator="containsText" text="50">
      <formula>NOT(ISERROR(SEARCH("50",R181)))</formula>
    </cfRule>
    <cfRule type="containsText" dxfId="10" priority="11" operator="containsText" text="100">
      <formula>NOT(ISERROR(SEARCH("100",R181)))</formula>
    </cfRule>
    <cfRule type="containsText" dxfId="11" priority="12" operator="containsText" text="75">
      <formula>NOT(ISERROR(SEARCH("75",R181)))</formula>
    </cfRule>
  </conditionalFormatting>
  <conditionalFormatting sqref="R190">
    <cfRule type="containsText" dxfId="4" priority="5" operator="containsText" text="25">
      <formula>NOT(ISERROR(SEARCH("25",R190)))</formula>
    </cfRule>
    <cfRule type="containsText" dxfId="5" priority="6" operator="containsText" text="50">
      <formula>NOT(ISERROR(SEARCH("50",R190)))</formula>
    </cfRule>
    <cfRule type="containsText" dxfId="6" priority="7" operator="containsText" text="100">
      <formula>NOT(ISERROR(SEARCH("100",R190)))</formula>
    </cfRule>
    <cfRule type="containsText" dxfId="7" priority="8" operator="containsText" text="75">
      <formula>NOT(ISERROR(SEARCH("75",R190)))</formula>
    </cfRule>
  </conditionalFormatting>
  <conditionalFormatting sqref="R193">
    <cfRule type="containsText" dxfId="0" priority="1" operator="containsText" text="25">
      <formula>NOT(ISERROR(SEARCH("25",R193)))</formula>
    </cfRule>
    <cfRule type="containsText" dxfId="1" priority="2" operator="containsText" text="50">
      <formula>NOT(ISERROR(SEARCH("50",R193)))</formula>
    </cfRule>
    <cfRule type="containsText" dxfId="2" priority="3" operator="containsText" text="100">
      <formula>NOT(ISERROR(SEARCH("100",R193)))</formula>
    </cfRule>
    <cfRule type="containsText" dxfId="3" priority="4" operator="containsText" text="75">
      <formula>NOT(ISERROR(SEARCH("75",R193)))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sandesh bs</dc:creator>
  <cp:lastModifiedBy>sandesh bs</cp:lastModifiedBy>
  <dcterms:created xsi:type="dcterms:W3CDTF">2025-08-22T11:40:59Z</dcterms:created>
  <dcterms:modified xsi:type="dcterms:W3CDTF">2026-02-24T10:21:23Z</dcterms:modified>
</cp:coreProperties>
</file>