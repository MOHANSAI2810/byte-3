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ande\Desktop\8TH CLASS DASHBOARD\"/>
    </mc:Choice>
  </mc:AlternateContent>
  <xr:revisionPtr revIDLastSave="0" documentId="13_ncr:1_{CA695FD8-7BAF-490F-B5B7-76738C9E3CA5}" xr6:coauthVersionLast="47" xr6:coauthVersionMax="47" xr10:uidLastSave="{00000000-0000-0000-0000-000000000000}"/>
  <bookViews>
    <workbookView xWindow="-98" yWindow="-98" windowWidth="21795" windowHeight="12975" xr2:uid="{4F87DD15-7C28-4111-988E-FDCFB4AA4F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116" i="1" l="1" a="1"/>
  <c r="BH116" i="1" s="1"/>
  <c r="BH117" i="1" a="1"/>
  <c r="BH117" i="1" s="1"/>
  <c r="BH118" i="1" a="1"/>
  <c r="BH118" i="1" s="1"/>
  <c r="BH119" i="1" a="1"/>
  <c r="BH119" i="1" s="1"/>
  <c r="BH120" i="1" a="1"/>
  <c r="BH120" i="1" s="1"/>
  <c r="BH121" i="1" a="1"/>
  <c r="BH121" i="1" s="1"/>
  <c r="BH122" i="1" a="1"/>
  <c r="BH122" i="1"/>
  <c r="BH123" i="1" a="1"/>
  <c r="BH123" i="1" s="1"/>
  <c r="BH124" i="1" a="1"/>
  <c r="BH124" i="1" s="1"/>
  <c r="BH125" i="1" a="1"/>
  <c r="BH125" i="1" s="1"/>
  <c r="BH126" i="1" a="1"/>
  <c r="BH126" i="1" s="1"/>
  <c r="BH127" i="1" a="1"/>
  <c r="BH127" i="1" s="1"/>
  <c r="BH128" i="1" a="1"/>
  <c r="BH128" i="1" s="1"/>
  <c r="BH129" i="1" a="1"/>
  <c r="BH129" i="1" s="1"/>
  <c r="BH130" i="1" a="1"/>
  <c r="BH130" i="1" s="1"/>
  <c r="BH131" i="1" a="1"/>
  <c r="BH131" i="1" s="1"/>
  <c r="BH132" i="1" a="1"/>
  <c r="BH132" i="1" s="1"/>
  <c r="BH133" i="1" a="1"/>
  <c r="BH133" i="1" s="1"/>
  <c r="BH134" i="1" a="1"/>
  <c r="BH134" i="1" s="1"/>
  <c r="BH135" i="1" a="1"/>
  <c r="BH135" i="1" s="1"/>
  <c r="BH136" i="1" a="1"/>
  <c r="BH136" i="1" s="1"/>
  <c r="BH137" i="1" a="1"/>
  <c r="BH137" i="1" s="1"/>
  <c r="BH138" i="1" a="1"/>
  <c r="BH138" i="1" s="1"/>
  <c r="BH139" i="1" a="1"/>
  <c r="BH139" i="1" s="1"/>
  <c r="BH140" i="1" a="1"/>
  <c r="BH140" i="1" s="1"/>
  <c r="BH141" i="1" a="1"/>
  <c r="BH141" i="1" s="1"/>
  <c r="BH142" i="1" a="1"/>
  <c r="BH142" i="1" s="1"/>
  <c r="BH143" i="1" a="1"/>
  <c r="BH143" i="1" s="1"/>
  <c r="BH144" i="1" a="1"/>
  <c r="BH144" i="1" s="1"/>
  <c r="BH145" i="1" a="1"/>
  <c r="BH145" i="1" s="1"/>
  <c r="BH146" i="1" a="1"/>
  <c r="BH146" i="1" s="1"/>
  <c r="BH147" i="1" a="1"/>
  <c r="BH147" i="1" s="1"/>
  <c r="BH148" i="1" a="1"/>
  <c r="BH148" i="1" s="1"/>
  <c r="BH149" i="1" a="1"/>
  <c r="BH149" i="1" s="1"/>
  <c r="BH150" i="1" a="1"/>
  <c r="BH150" i="1" s="1"/>
  <c r="BH151" i="1" a="1"/>
  <c r="BH151" i="1" s="1"/>
  <c r="BH152" i="1" a="1"/>
  <c r="BH152" i="1" s="1"/>
  <c r="BH153" i="1" a="1"/>
  <c r="BH153" i="1" s="1"/>
  <c r="BH154" i="1" a="1"/>
  <c r="BH154" i="1" s="1"/>
  <c r="BH155" i="1" a="1"/>
  <c r="BH155" i="1" s="1"/>
  <c r="BH156" i="1" a="1"/>
  <c r="BH156" i="1" s="1"/>
  <c r="BH157" i="1" a="1"/>
  <c r="BH157" i="1" s="1"/>
  <c r="BH158" i="1" a="1"/>
  <c r="BH158" i="1" s="1"/>
  <c r="BH159" i="1" a="1"/>
  <c r="BH159" i="1" s="1"/>
  <c r="BH160" i="1" a="1"/>
  <c r="BH160" i="1" s="1"/>
  <c r="BH161" i="1" a="1"/>
  <c r="BH161" i="1" s="1"/>
  <c r="BH162" i="1" a="1"/>
  <c r="BH162" i="1" s="1"/>
  <c r="BH163" i="1" a="1"/>
  <c r="BH163" i="1" s="1"/>
  <c r="BH164" i="1" a="1"/>
  <c r="BH164" i="1" s="1"/>
  <c r="BH165" i="1" a="1"/>
  <c r="BH165" i="1" s="1"/>
  <c r="BH166" i="1" a="1"/>
  <c r="BH166" i="1" s="1"/>
  <c r="BH167" i="1" a="1"/>
  <c r="BH167" i="1" s="1"/>
  <c r="BH168" i="1" a="1"/>
  <c r="BH168" i="1" s="1"/>
  <c r="BH169" i="1" a="1"/>
  <c r="BH169" i="1" s="1"/>
  <c r="BH170" i="1" a="1"/>
  <c r="BH170" i="1" s="1"/>
  <c r="BH171" i="1" a="1"/>
  <c r="BH171" i="1" s="1"/>
  <c r="BH172" i="1" a="1"/>
  <c r="BH172" i="1" s="1"/>
  <c r="BH173" i="1" a="1"/>
  <c r="BH173" i="1" s="1"/>
  <c r="BH174" i="1" a="1"/>
  <c r="BH174" i="1" s="1"/>
  <c r="BH175" i="1" a="1"/>
  <c r="BH175" i="1" s="1"/>
  <c r="BH176" i="1" a="1"/>
  <c r="BH176" i="1" s="1"/>
  <c r="BH177" i="1" a="1"/>
  <c r="BH177" i="1" s="1"/>
  <c r="BH178" i="1" a="1"/>
  <c r="BH178" i="1" s="1"/>
  <c r="BH179" i="1" a="1"/>
  <c r="BH179" i="1" s="1"/>
  <c r="BH180" i="1" a="1"/>
  <c r="BH180" i="1" s="1"/>
  <c r="BH181" i="1" a="1"/>
  <c r="BH181" i="1" s="1"/>
  <c r="BH182" i="1" a="1"/>
  <c r="BH182" i="1" s="1"/>
  <c r="BH183" i="1" a="1"/>
  <c r="BH183" i="1" s="1"/>
  <c r="BH184" i="1" a="1"/>
  <c r="BH184" i="1" s="1"/>
  <c r="BH185" i="1" a="1"/>
  <c r="BH185" i="1" s="1"/>
  <c r="BH186" i="1" a="1"/>
  <c r="BH186" i="1" s="1"/>
  <c r="BH187" i="1" a="1"/>
  <c r="BH187" i="1" s="1"/>
  <c r="BH188" i="1" a="1"/>
  <c r="BH188" i="1" s="1"/>
  <c r="BH189" i="1" a="1"/>
  <c r="BH189" i="1" s="1"/>
  <c r="BH190" i="1" a="1"/>
  <c r="BH190" i="1" s="1"/>
  <c r="BH191" i="1" a="1"/>
  <c r="BH191" i="1" s="1"/>
  <c r="BH192" i="1" a="1"/>
  <c r="BH192" i="1" s="1"/>
  <c r="BH193" i="1" a="1"/>
  <c r="BH193" i="1" s="1"/>
  <c r="BH194" i="1" a="1"/>
  <c r="BH194" i="1" s="1"/>
  <c r="BH195" i="1" a="1"/>
  <c r="BH195" i="1" s="1"/>
  <c r="BH196" i="1" a="1"/>
  <c r="BH196" i="1" s="1"/>
  <c r="BH197" i="1" a="1"/>
  <c r="BH197" i="1" s="1"/>
  <c r="BH198" i="1" a="1"/>
  <c r="BH198" i="1" s="1"/>
  <c r="BG116" i="1"/>
  <c r="BG117" i="1"/>
  <c r="BG118" i="1"/>
  <c r="BG119" i="1"/>
  <c r="BG120" i="1"/>
  <c r="BG121" i="1"/>
  <c r="BG122" i="1"/>
  <c r="BG123" i="1"/>
  <c r="BG124" i="1"/>
  <c r="BG125" i="1"/>
  <c r="BG126" i="1"/>
  <c r="BG127" i="1"/>
  <c r="BG128" i="1"/>
  <c r="BG129" i="1"/>
  <c r="BG130" i="1"/>
  <c r="BG131" i="1"/>
  <c r="BG132" i="1"/>
  <c r="BG133" i="1"/>
  <c r="BG134" i="1"/>
  <c r="BG135" i="1"/>
  <c r="BG136" i="1"/>
  <c r="BG137" i="1"/>
  <c r="BG138" i="1"/>
  <c r="BG139" i="1"/>
  <c r="BG140" i="1"/>
  <c r="BG141" i="1"/>
  <c r="BG142" i="1"/>
  <c r="BG143" i="1"/>
  <c r="BG144" i="1"/>
  <c r="BG145" i="1"/>
  <c r="BG146" i="1"/>
  <c r="BG147" i="1"/>
  <c r="BG148" i="1"/>
  <c r="BG149" i="1"/>
  <c r="BG150" i="1"/>
  <c r="BG151" i="1"/>
  <c r="BG152" i="1"/>
  <c r="BG153" i="1"/>
  <c r="BG154" i="1"/>
  <c r="BG155" i="1"/>
  <c r="BG156" i="1"/>
  <c r="BG157" i="1"/>
  <c r="BG158" i="1"/>
  <c r="BG159" i="1"/>
  <c r="BG160" i="1"/>
  <c r="BG161" i="1"/>
  <c r="BG162" i="1"/>
  <c r="BG163" i="1"/>
  <c r="BG164" i="1"/>
  <c r="BG165" i="1"/>
  <c r="BG166" i="1"/>
  <c r="BG167" i="1"/>
  <c r="BG168" i="1"/>
  <c r="BG169" i="1"/>
  <c r="BG170" i="1"/>
  <c r="BG171" i="1"/>
  <c r="BG172" i="1"/>
  <c r="BG173" i="1"/>
  <c r="BG174" i="1"/>
  <c r="BG175" i="1"/>
  <c r="BG176" i="1"/>
  <c r="BG177" i="1"/>
  <c r="BG178" i="1"/>
  <c r="BG179" i="1"/>
  <c r="BG180" i="1"/>
  <c r="BG181" i="1"/>
  <c r="BG182" i="1"/>
  <c r="BG183" i="1"/>
  <c r="BG184" i="1"/>
  <c r="BG185" i="1"/>
  <c r="BG186" i="1"/>
  <c r="BG187" i="1"/>
  <c r="BG188" i="1"/>
  <c r="BG189" i="1"/>
  <c r="BG190" i="1"/>
  <c r="BG191" i="1"/>
  <c r="BG192" i="1"/>
  <c r="BG193" i="1"/>
  <c r="BG194" i="1"/>
  <c r="BG195" i="1"/>
  <c r="BG196" i="1"/>
  <c r="BG197" i="1"/>
  <c r="BG198" i="1"/>
  <c r="BH115" i="1" a="1"/>
  <c r="BH115" i="1" s="1"/>
  <c r="BG115" i="1"/>
  <c r="BH114" i="1" a="1"/>
  <c r="BH114" i="1" s="1"/>
  <c r="BG114" i="1"/>
  <c r="BH113" i="1" a="1"/>
  <c r="BH113" i="1" s="1"/>
  <c r="BG113" i="1"/>
  <c r="BH112" i="1" a="1"/>
  <c r="BH112" i="1" s="1"/>
  <c r="BG112" i="1"/>
  <c r="BH111" i="1" a="1"/>
  <c r="BH111" i="1" s="1"/>
  <c r="BG111" i="1"/>
  <c r="BH110" i="1" a="1"/>
  <c r="BH110" i="1" s="1"/>
  <c r="BG110" i="1"/>
  <c r="BH109" i="1" a="1"/>
  <c r="BH109" i="1" s="1"/>
  <c r="BG109" i="1"/>
  <c r="BH108" i="1" a="1"/>
  <c r="BH108" i="1" s="1"/>
  <c r="BG108" i="1"/>
  <c r="BH107" i="1" a="1"/>
  <c r="BH107" i="1" s="1"/>
  <c r="BG107" i="1"/>
  <c r="BH106" i="1" a="1"/>
  <c r="BH106" i="1" s="1"/>
  <c r="BG106" i="1"/>
  <c r="BH105" i="1" a="1"/>
  <c r="BH105" i="1" s="1"/>
  <c r="BG105" i="1"/>
  <c r="BH104" i="1" a="1"/>
  <c r="BH104" i="1" s="1"/>
  <c r="BG104" i="1"/>
  <c r="BH103" i="1" a="1"/>
  <c r="BH103" i="1" s="1"/>
  <c r="BG103" i="1"/>
  <c r="BH102" i="1" a="1"/>
  <c r="BH102" i="1" s="1"/>
  <c r="BG102" i="1"/>
  <c r="BH101" i="1" a="1"/>
  <c r="BH101" i="1" s="1"/>
  <c r="BG101" i="1"/>
  <c r="BH100" i="1" a="1"/>
  <c r="BH100" i="1" s="1"/>
  <c r="BG100" i="1"/>
  <c r="BI99" i="1" a="1"/>
  <c r="BI99" i="1" s="1"/>
  <c r="BH99" i="1"/>
  <c r="BI98" i="1" a="1"/>
  <c r="BI98" i="1" s="1"/>
  <c r="BH98" i="1"/>
  <c r="BH97" i="1" a="1"/>
  <c r="BH97" i="1" s="1"/>
  <c r="BG97" i="1"/>
  <c r="BH96" i="1" a="1"/>
  <c r="BH96" i="1" s="1"/>
  <c r="BG96" i="1"/>
  <c r="BH95" i="1" a="1"/>
  <c r="BH95" i="1" s="1"/>
  <c r="BG95" i="1"/>
  <c r="BH94" i="1" a="1"/>
  <c r="BH94" i="1" s="1"/>
  <c r="BG94" i="1"/>
  <c r="BH93" i="1" a="1"/>
  <c r="BH93" i="1" s="1"/>
  <c r="BG93" i="1"/>
  <c r="BH92" i="1" a="1"/>
  <c r="BH92" i="1" s="1"/>
  <c r="BG92" i="1"/>
  <c r="BH91" i="1" a="1"/>
  <c r="BH91" i="1" s="1"/>
  <c r="BG91" i="1"/>
  <c r="BH90" i="1" a="1"/>
  <c r="BH90" i="1" s="1"/>
  <c r="BG90" i="1"/>
  <c r="BH89" i="1" a="1"/>
  <c r="BH89" i="1" s="1"/>
  <c r="BG89" i="1"/>
  <c r="BH88" i="1" a="1"/>
  <c r="BH88" i="1" s="1"/>
  <c r="BG88" i="1"/>
  <c r="BH87" i="1" a="1"/>
  <c r="BH87" i="1" s="1"/>
  <c r="BG87" i="1"/>
  <c r="BG86" i="1" a="1"/>
  <c r="BG86" i="1" s="1"/>
  <c r="BF86" i="1"/>
  <c r="BH85" i="1" a="1"/>
  <c r="BH85" i="1" s="1"/>
  <c r="BG85" i="1"/>
  <c r="BH84" i="1" a="1"/>
  <c r="BH84" i="1" s="1"/>
  <c r="BG84" i="1"/>
  <c r="BH83" i="1" a="1"/>
  <c r="BH83" i="1" s="1"/>
  <c r="BG83" i="1"/>
  <c r="BH82" i="1" a="1"/>
  <c r="BH82" i="1" s="1"/>
  <c r="BG82" i="1"/>
  <c r="BH81" i="1" a="1"/>
  <c r="BH81" i="1" s="1"/>
  <c r="BG81" i="1"/>
  <c r="BH80" i="1" a="1"/>
  <c r="BH80" i="1" s="1"/>
  <c r="BG80" i="1"/>
  <c r="BH79" i="1" a="1"/>
  <c r="BH79" i="1" s="1"/>
  <c r="BG79" i="1"/>
  <c r="BH78" i="1" a="1"/>
  <c r="BH78" i="1" s="1"/>
  <c r="BG78" i="1"/>
  <c r="BH77" i="1" a="1"/>
  <c r="BH77" i="1" s="1"/>
  <c r="BG77" i="1"/>
  <c r="BH76" i="1" a="1"/>
  <c r="BH76" i="1" s="1"/>
  <c r="BG76" i="1"/>
  <c r="BH75" i="1" a="1"/>
  <c r="BH75" i="1" s="1"/>
  <c r="BG75" i="1"/>
  <c r="BH74" i="1" a="1"/>
  <c r="BH74" i="1" s="1"/>
  <c r="BG74" i="1"/>
  <c r="BH73" i="1" a="1"/>
  <c r="BH73" i="1" s="1"/>
  <c r="BG73" i="1"/>
  <c r="BH72" i="1" a="1"/>
  <c r="BH72" i="1" s="1"/>
  <c r="BG72" i="1"/>
  <c r="BH71" i="1" a="1"/>
  <c r="BH71" i="1" s="1"/>
  <c r="BG71" i="1"/>
  <c r="BH70" i="1" a="1"/>
  <c r="BH70" i="1" s="1"/>
  <c r="BG70" i="1"/>
  <c r="BH69" i="1" a="1"/>
  <c r="BH69" i="1" s="1"/>
  <c r="BG69" i="1"/>
  <c r="BH68" i="1" a="1"/>
  <c r="BH68" i="1" s="1"/>
  <c r="BG68" i="1"/>
  <c r="BH67" i="1" a="1"/>
  <c r="BH67" i="1" s="1"/>
  <c r="BG67" i="1"/>
  <c r="BH66" i="1" a="1"/>
  <c r="BH66" i="1" s="1"/>
  <c r="BG66" i="1"/>
  <c r="BH65" i="1" a="1"/>
  <c r="BH65" i="1" s="1"/>
  <c r="BG65" i="1"/>
  <c r="BH64" i="1" a="1"/>
  <c r="BH64" i="1" s="1"/>
  <c r="BG64" i="1"/>
  <c r="BH63" i="1" a="1"/>
  <c r="BH63" i="1" s="1"/>
  <c r="BG63" i="1"/>
  <c r="BH62" i="1" a="1"/>
  <c r="BH62" i="1" s="1"/>
  <c r="BG62" i="1"/>
  <c r="BH61" i="1" a="1"/>
  <c r="BH61" i="1" s="1"/>
  <c r="BG61" i="1"/>
  <c r="BH60" i="1" a="1"/>
  <c r="BH60" i="1" s="1"/>
  <c r="BG60" i="1"/>
  <c r="BH59" i="1" a="1"/>
  <c r="BH59" i="1" s="1"/>
  <c r="BG59" i="1"/>
  <c r="BH58" i="1" a="1"/>
  <c r="BH58" i="1" s="1"/>
  <c r="BG58" i="1"/>
  <c r="BH57" i="1" a="1"/>
  <c r="BH57" i="1" s="1"/>
  <c r="BG57" i="1"/>
  <c r="BH56" i="1" a="1"/>
  <c r="BH56" i="1" s="1"/>
  <c r="BG56" i="1"/>
  <c r="BH55" i="1" a="1"/>
  <c r="BH55" i="1" s="1"/>
  <c r="BG55" i="1"/>
  <c r="BH54" i="1" a="1"/>
  <c r="BH54" i="1" s="1"/>
  <c r="BG54" i="1"/>
  <c r="BH53" i="1" a="1"/>
  <c r="BH53" i="1" s="1"/>
  <c r="BG53" i="1"/>
  <c r="BH52" i="1" a="1"/>
  <c r="BH52" i="1" s="1"/>
  <c r="BG52" i="1"/>
  <c r="BH51" i="1" a="1"/>
  <c r="BH51" i="1" s="1"/>
  <c r="BG51" i="1"/>
  <c r="BH50" i="1" a="1"/>
  <c r="BH50" i="1" s="1"/>
  <c r="BG50" i="1"/>
  <c r="BH49" i="1" a="1"/>
  <c r="BH49" i="1" s="1"/>
  <c r="BG49" i="1"/>
  <c r="BH48" i="1" a="1"/>
  <c r="BH48" i="1" s="1"/>
  <c r="BG48" i="1"/>
  <c r="BH47" i="1" a="1"/>
  <c r="BH47" i="1" s="1"/>
  <c r="BG47" i="1"/>
  <c r="BH46" i="1" a="1"/>
  <c r="BH46" i="1" s="1"/>
  <c r="BG46" i="1"/>
  <c r="BH45" i="1" a="1"/>
  <c r="BH45" i="1" s="1"/>
  <c r="BG45" i="1"/>
  <c r="BH44" i="1" a="1"/>
  <c r="BH44" i="1" s="1"/>
  <c r="BG44" i="1"/>
  <c r="BH43" i="1" a="1"/>
  <c r="BH43" i="1" s="1"/>
  <c r="BG43" i="1"/>
  <c r="BH42" i="1" a="1"/>
  <c r="BH42" i="1" s="1"/>
  <c r="BG42" i="1"/>
  <c r="BH41" i="1" a="1"/>
  <c r="BH41" i="1" s="1"/>
  <c r="BG41" i="1"/>
  <c r="BH40" i="1" a="1"/>
  <c r="BH40" i="1" s="1"/>
  <c r="BG40" i="1"/>
  <c r="BH39" i="1" a="1"/>
  <c r="BH39" i="1" s="1"/>
  <c r="BG39" i="1"/>
  <c r="BH38" i="1" a="1"/>
  <c r="BH38" i="1" s="1"/>
  <c r="BG38" i="1"/>
  <c r="BH37" i="1" a="1"/>
  <c r="BH37" i="1" s="1"/>
  <c r="BG37" i="1"/>
  <c r="BH36" i="1" a="1"/>
  <c r="BH36" i="1" s="1"/>
  <c r="BG36" i="1"/>
  <c r="BH35" i="1" a="1"/>
  <c r="BH35" i="1" s="1"/>
  <c r="BG35" i="1"/>
  <c r="BH34" i="1" a="1"/>
  <c r="BH34" i="1" s="1"/>
  <c r="BG34" i="1"/>
  <c r="BH33" i="1" a="1"/>
  <c r="BH33" i="1" s="1"/>
  <c r="BG33" i="1"/>
  <c r="BH32" i="1" a="1"/>
  <c r="BH32" i="1" s="1"/>
  <c r="BG32" i="1"/>
  <c r="BH31" i="1" a="1"/>
  <c r="BH31" i="1" s="1"/>
  <c r="BG31" i="1"/>
  <c r="BH30" i="1" a="1"/>
  <c r="BH30" i="1" s="1"/>
  <c r="BG30" i="1"/>
  <c r="BH29" i="1" a="1"/>
  <c r="BH29" i="1" s="1"/>
  <c r="BG29" i="1"/>
  <c r="BH28" i="1" a="1"/>
  <c r="BH28" i="1" s="1"/>
  <c r="BG28" i="1"/>
  <c r="BH27" i="1" a="1"/>
  <c r="BH27" i="1" s="1"/>
  <c r="BG27" i="1"/>
  <c r="BH26" i="1" a="1"/>
  <c r="BH26" i="1" s="1"/>
  <c r="BG26" i="1"/>
  <c r="BH25" i="1" a="1"/>
  <c r="BH25" i="1" s="1"/>
  <c r="BG25" i="1"/>
  <c r="BH24" i="1" a="1"/>
  <c r="BH24" i="1" s="1"/>
  <c r="BG24" i="1"/>
  <c r="BH23" i="1" a="1"/>
  <c r="BH23" i="1" s="1"/>
  <c r="BG23" i="1"/>
  <c r="BH22" i="1" a="1"/>
  <c r="BH22" i="1" s="1"/>
  <c r="BG22" i="1"/>
  <c r="BH21" i="1" a="1"/>
  <c r="BH21" i="1" s="1"/>
  <c r="BG21" i="1"/>
  <c r="BH20" i="1" a="1"/>
  <c r="BH20" i="1" s="1"/>
  <c r="BG20" i="1"/>
  <c r="BH19" i="1" a="1"/>
  <c r="BH19" i="1" s="1"/>
  <c r="BG19" i="1"/>
  <c r="BH18" i="1" a="1"/>
  <c r="BH18" i="1" s="1"/>
  <c r="BG18" i="1"/>
  <c r="BH17" i="1" a="1"/>
  <c r="BH17" i="1" s="1"/>
  <c r="BG17" i="1"/>
  <c r="BH16" i="1" a="1"/>
  <c r="BH16" i="1" s="1"/>
  <c r="BG16" i="1"/>
  <c r="BH15" i="1" a="1"/>
  <c r="BH15" i="1" s="1"/>
  <c r="BG15" i="1"/>
  <c r="BH14" i="1" a="1"/>
  <c r="BH14" i="1" s="1"/>
  <c r="BG14" i="1"/>
  <c r="BH13" i="1" a="1"/>
  <c r="BH13" i="1" s="1"/>
  <c r="BG13" i="1"/>
  <c r="BH12" i="1" a="1"/>
  <c r="BH12" i="1" s="1"/>
  <c r="BG12" i="1"/>
  <c r="BH11" i="1" a="1"/>
  <c r="BH11" i="1" s="1"/>
  <c r="BG11" i="1"/>
  <c r="BH10" i="1" a="1"/>
  <c r="BH10" i="1" s="1"/>
  <c r="BG10" i="1"/>
  <c r="BH9" i="1" a="1"/>
  <c r="BH9" i="1" s="1"/>
  <c r="BG9" i="1"/>
  <c r="BH8" i="1" a="1"/>
  <c r="BH8" i="1" s="1"/>
  <c r="BG8" i="1"/>
  <c r="BH7" i="1" a="1"/>
  <c r="BH7" i="1" s="1"/>
  <c r="BG7" i="1"/>
  <c r="BH6" i="1" a="1"/>
  <c r="BH6" i="1" s="1"/>
  <c r="BG6" i="1"/>
  <c r="BH5" i="1" a="1"/>
  <c r="BH5" i="1" s="1"/>
  <c r="BG5" i="1"/>
  <c r="BH4" i="1" a="1"/>
  <c r="BH4" i="1" s="1"/>
  <c r="BG4" i="1"/>
  <c r="BL3" i="1" a="1"/>
  <c r="BL3" i="1" s="1"/>
  <c r="BK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<sst xmlns="http://schemas.openxmlformats.org/spreadsheetml/2006/main" count="1375" uniqueCount="326">
  <si>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</si>
  <si>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</si>
  <si>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</si>
  <si>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</si>
  <si>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</si>
  <si>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</si>
  <si>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</si>
  <si>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</si>
  <si>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</si>
  <si>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</si>
  <si>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</si>
  <si>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</si>
  <si>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</si>
  <si>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</si>
  <si>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</si>
  <si>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</si>
  <si>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</si>
  <si>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</si>
  <si>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</si>
  <si>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</si>
  <si>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</si>
  <si>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</si>
  <si>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</si>
  <si>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</si>
  <si>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</si>
  <si>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</si>
  <si>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</si>
  <si>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</si>
  <si>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</si>
  <si>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</si>
  <si>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Average</t>
  </si>
  <si>
    <t>ByTE Review - 1</t>
  </si>
  <si>
    <t>ByTE Review - 2</t>
  </si>
  <si>
    <t>ByTE Review - 3</t>
  </si>
  <si>
    <t>Student Name / Roll Number</t>
  </si>
  <si>
    <t>Co-Curriculars</t>
  </si>
  <si>
    <t>Score</t>
  </si>
  <si>
    <t>Feedback</t>
  </si>
  <si>
    <t>Score Average</t>
  </si>
  <si>
    <t>Consolidated feedback</t>
  </si>
  <si>
    <t>Academics</t>
  </si>
  <si>
    <t>Games</t>
  </si>
  <si>
    <t>Computers</t>
  </si>
  <si>
    <t>Drawing</t>
  </si>
  <si>
    <t>Library</t>
  </si>
  <si>
    <t>Others</t>
  </si>
  <si>
    <t>SHAIK ABDUL LATEEF</t>
  </si>
  <si>
    <t>K ABDUL REHAMAN</t>
  </si>
  <si>
    <t>B HAMZA AMAAN KHAN</t>
  </si>
  <si>
    <t>SHAIK JAVID HUSSAIN</t>
  </si>
  <si>
    <t>SYED JILAN KHADRI</t>
  </si>
  <si>
    <t>KHAZI MOHAMMED RASHID</t>
  </si>
  <si>
    <t>S RIZWAN KHAN</t>
  </si>
  <si>
    <t>SHAIK MOHAMMED SAJJAD</t>
  </si>
  <si>
    <t>SHAIK SAHAIL</t>
  </si>
  <si>
    <t>SHAIK MOHAMMED SIRAJ</t>
  </si>
  <si>
    <t>MOHAMMED SHAHAAN UZAIN</t>
  </si>
  <si>
    <t>S MD SUFIYAN</t>
  </si>
  <si>
    <t>SHAIK MOHAMMED MUAAZ</t>
  </si>
  <si>
    <t>P MD HUZAIFA</t>
  </si>
  <si>
    <t>SHAIK AISHATH UMAIZA</t>
  </si>
  <si>
    <t>SHAIK AFIFA MAHEK</t>
  </si>
  <si>
    <t>SHAIK AKIFA TABASSUM</t>
  </si>
  <si>
    <t>S BUSHRA FATHIMA</t>
  </si>
  <si>
    <t>S KHAJA FARHATH</t>
  </si>
  <si>
    <t>DILAR SAHEB GARI NAZIMA MUBEEN</t>
  </si>
  <si>
    <t>S UMME HAFSA</t>
  </si>
  <si>
    <t>S ZOYA MEHTAF</t>
  </si>
  <si>
    <t>SHAIK FAREEHA MUSFIRA</t>
  </si>
  <si>
    <t>8A1</t>
  </si>
  <si>
    <t>AVERAGE PARTICIPATION IN THE CLASS</t>
  </si>
  <si>
    <t>NEAT FINISHING DOING GOOD IN CLASS</t>
  </si>
  <si>
    <t>AB</t>
  </si>
  <si>
    <t>DOING GOOD</t>
  </si>
  <si>
    <t>NOT ATTENDED THE CLASS WENT TO ESSAY WRITING</t>
  </si>
  <si>
    <t>HELPING HER FRIEND,SHE ALSO NEED TO IMPROVE</t>
  </si>
  <si>
    <t>SANA MEHTAJ</t>
  </si>
  <si>
    <t>NEUTRAL PARTICIPATION</t>
  </si>
  <si>
    <t xml:space="preserve"> JUST PARTICIPATING IN THE CLASS</t>
  </si>
  <si>
    <t>DOING GOOD ,NEED TO PAY ATTENTION IN THE CLASS</t>
  </si>
  <si>
    <t>DOING GOOD CAN DO BETTER,</t>
  </si>
  <si>
    <t>NEED TO IMPROVE NEED TO PRACTICE</t>
  </si>
  <si>
    <t>CAN IMPROVE NEED MOTIVATION</t>
  </si>
  <si>
    <t>TAKING FRIENDS HELP,NEED TO PRACTICE</t>
  </si>
  <si>
    <t>DOING GOOD NEED TO PRACTICE</t>
  </si>
  <si>
    <t>BIT SLOW IN THE CLASS NEED CONCENTRATION</t>
  </si>
  <si>
    <t>ABSENT</t>
  </si>
  <si>
    <t>SYEDA AISHA MISBAH FALAK</t>
  </si>
  <si>
    <t>NUFUL TALHA</t>
  </si>
  <si>
    <t>S ALINA TANVEE</t>
  </si>
  <si>
    <t>INTEREST IN COMICS BOOKS IN PANCHATHANTRA WITH CONCENTRATLY READING</t>
  </si>
  <si>
    <t>JUST PARTICIPATING</t>
  </si>
  <si>
    <t xml:space="preserve">GOOD IN READING ,ENJOYS READING,WITH FOCUS </t>
  </si>
  <si>
    <t>SHAIK AAMEER BASHA</t>
  </si>
  <si>
    <t>SHAIK RAHEEL PASHA</t>
  </si>
  <si>
    <t>INTEREST IN COMICS BOOKS NEED TO FOCUS MORE</t>
  </si>
  <si>
    <t>DOING GOOD BUT NEED TO CONCENTRATE</t>
  </si>
  <si>
    <t>AVERAGE PERFORMANCE</t>
  </si>
  <si>
    <t>DOING GOOD NEED TO CONCENTRATE</t>
  </si>
  <si>
    <t>CLASS CANCELLED</t>
  </si>
  <si>
    <t>TRYING HIS BEST TO COMPLETE THE TASK</t>
  </si>
  <si>
    <t>GOOD IN PLAYING FOOTBALL</t>
  </si>
  <si>
    <t>GOOD IN PLAYING SHUTTLE</t>
  </si>
  <si>
    <t>PLAYING WELL SHUTTLE</t>
  </si>
  <si>
    <t>WENT TO ESSAY WRITING</t>
  </si>
  <si>
    <t>SHOWING INTEREST NEED TO PRATICE</t>
  </si>
  <si>
    <t>ANSWERING WELL PERFORMING WELL NEED MOTIVATION</t>
  </si>
  <si>
    <t>NEED MORE PRACTICE CAN DO BETTER</t>
  </si>
  <si>
    <t>GOOD IN READING</t>
  </si>
  <si>
    <t>SHOWING INTEREST IN READING</t>
  </si>
  <si>
    <t>INTERESTED IN MORAL STORIES</t>
  </si>
  <si>
    <t xml:space="preserve">NEED  TO CONCENTRATE </t>
  </si>
  <si>
    <t>GOOD IN READING NEED TO FOCUS</t>
  </si>
  <si>
    <t>INTERESTED IN HISTORIC STORIES</t>
  </si>
  <si>
    <t>INTETRESTED IN ADVENTURE STORIES</t>
  </si>
  <si>
    <t>NEED TO IMPROVE READING ABILITY</t>
  </si>
  <si>
    <t>NEED TO FOCUS ON VOCABULARY</t>
  </si>
  <si>
    <t>AVERAGE PARTICIPATION</t>
  </si>
  <si>
    <t>GOOD IN READING SHOWING INTEREST</t>
  </si>
  <si>
    <t>NEED TO CONCENTRATE</t>
  </si>
  <si>
    <t>GOOD IN READING CAN IMPROVE</t>
  </si>
  <si>
    <t>NEED MOTIVATION GOOD IN READING</t>
  </si>
  <si>
    <t>INTERESTED IN CARTOON STORIES</t>
  </si>
  <si>
    <t>NEED CONCENTRATION</t>
  </si>
  <si>
    <t>ACTIVE IN THE CLASS PERFORMING WELL</t>
  </si>
  <si>
    <t>PROPORTION OF THE FIGURE IS ACCURATE AND NEAT</t>
  </si>
  <si>
    <t>NEED TO FOCUS ON VISUAL</t>
  </si>
  <si>
    <t>BIT SLOW IN THE CLASS NEED TO PRACTICE</t>
  </si>
  <si>
    <t>NEED TO FOCUS  VISUAL COMPONENTS</t>
  </si>
  <si>
    <t>TAKING TEACHERS HELP NEED MORE PRACTICE</t>
  </si>
  <si>
    <t>NEED TO REFINE THE FIGURE</t>
  </si>
  <si>
    <t>TRYING TO SIMPLIFY THE FIGURE</t>
  </si>
  <si>
    <t>GOOD OBSERVATION SKILLS</t>
  </si>
  <si>
    <t>GOOD IN VISUAL COMPONENTS</t>
  </si>
  <si>
    <t>NEED TO PRACTICE TAKING FRIENDS HELP</t>
  </si>
  <si>
    <t>GOOD IN DRAWING COMPLETING THE FIGURE WELL SHOWING INTEREST</t>
  </si>
  <si>
    <t>PERFORMING WELL NEED PRACTICE</t>
  </si>
  <si>
    <t>NEED CONCENTRATION IN THE CLASS</t>
  </si>
  <si>
    <t>EVALUATING THE CLOURING WELL</t>
  </si>
  <si>
    <t>UTILIZING THE LINES NEATLY</t>
  </si>
  <si>
    <t>SIMPLIFYING THE CONTOUR WELL</t>
  </si>
  <si>
    <t>EVALUATING THE SHADINGNWELL</t>
  </si>
  <si>
    <t>ILLUMINATING THE SHADOWED AREA OF THE OBJECT</t>
  </si>
  <si>
    <t>BUILDING GRADUAL TONAL TRASITION FORMS</t>
  </si>
  <si>
    <t>DEVELOPING VOLUME AND DEPTH  OF THE FIGURE</t>
  </si>
  <si>
    <t>DEPICTING THE RANGE OF VALUES FROM LIGHT TO SHADOW</t>
  </si>
  <si>
    <t xml:space="preserve">USING SMALL CIRCULAR STROKES </t>
  </si>
  <si>
    <t>LAYERING HATCH MARKS AT DIFFERENT ANGLES TO CREATE COMPLEX TONE</t>
  </si>
  <si>
    <t>GOOD IN CREATING DARKER AND MORE COMPLEX TONE</t>
  </si>
  <si>
    <t>GOOD IN CREATING SMOOTH SOFT EDGES</t>
  </si>
  <si>
    <t>SHOWING VARIATION IN COMPLEX TONE</t>
  </si>
  <si>
    <t>CROSS HATCHING DIMENSIONAL EFFECTS ON THE SURFACE</t>
  </si>
  <si>
    <t>GOOD OBSERVATION NEED PRACTICE</t>
  </si>
  <si>
    <t>PERFORMING WELL NEED TO CONCENTRATE</t>
  </si>
  <si>
    <t>GOOD IN SHADING NEED PRACTICE</t>
  </si>
  <si>
    <t>S NIDADOAA SHARIEF</t>
  </si>
  <si>
    <t>SHAIK MOHAMMED ZAHID</t>
  </si>
  <si>
    <t xml:space="preserve"> PERFORMING WELL NEED MOTIVATION</t>
  </si>
  <si>
    <t>BUILDING GRADUAL TONAL TRASITION</t>
  </si>
  <si>
    <t>GOOD OBSERVATION</t>
  </si>
  <si>
    <t>NEED TO FOCUS ON VISUALS</t>
  </si>
  <si>
    <t xml:space="preserve">PROPORTION OF THE FIGURE IS ACCURATE </t>
  </si>
  <si>
    <t>PERFORMING WELL ACTIVE IN THE CLASS</t>
  </si>
  <si>
    <t>ACTIVE PARTICEPATION DOING WELL IN THE CLASS</t>
  </si>
  <si>
    <t>AVERAGE PARTICEPATION</t>
  </si>
  <si>
    <t>PERFORMING WELL NEED TO PRACTICE</t>
  </si>
  <si>
    <t>DOING WELL NEED PRACTICE</t>
  </si>
  <si>
    <t>NEED PRACTICE CAN DO BETTER</t>
  </si>
  <si>
    <t>GOOD IN READING NEED TO CONCENTRATE</t>
  </si>
  <si>
    <t>GOOD IN READING NNED TO PAY ATTENTION</t>
  </si>
  <si>
    <t>NEUTRAL PARTCIPATION</t>
  </si>
  <si>
    <t>JUST PARTCIPATION</t>
  </si>
  <si>
    <t>GOOD IN SOCIAL STUDIES</t>
  </si>
  <si>
    <t>GOOD IN BIOLOGY,PHYSIC&amp;SOCIAL</t>
  </si>
  <si>
    <t>GOOD IN BIOLOGY,TELUGU,URDU&amp;MATHEMATICS</t>
  </si>
  <si>
    <t>AVERAGE PERFORMANCE IN STUIDIES</t>
  </si>
  <si>
    <t>GOOD IN URDU</t>
  </si>
  <si>
    <t>GOOD IN PHYSIC&amp;SOCIAL</t>
  </si>
  <si>
    <t>GOOD IN BIOLOGY</t>
  </si>
  <si>
    <t>S ALIYA KOUSAR</t>
  </si>
  <si>
    <t>GOOD IN URDU,BIOLOGY&amp;SOCIAL</t>
  </si>
  <si>
    <t>GOOD IN MATHEMATICS,BIOLOGY&amp;SOCIAL</t>
  </si>
  <si>
    <t>GOOD IN URDU&amp;BIOLOGY</t>
  </si>
  <si>
    <t>GOOD IN URDU BUT NEED TO FOCUS ON ALL SUBJECTS</t>
  </si>
  <si>
    <t>GOOD IN URDU,MATHEMATICS&amp;SOCIAL</t>
  </si>
  <si>
    <t>GOOD IN PHYSIC,SOCIAL&amp;BIOLOGY</t>
  </si>
  <si>
    <t>INTERESTED IN CEICKET</t>
  </si>
  <si>
    <t>INTERESTED IN GAMING , TYPING IN COMPUTER</t>
  </si>
  <si>
    <t>INTERESTED IN DRAWING</t>
  </si>
  <si>
    <t>INTERESTED IN STORY BOOKS</t>
  </si>
  <si>
    <t>INTERESTED IN KHO-KHO</t>
  </si>
  <si>
    <t>INTERESTED IN KHABADI</t>
  </si>
  <si>
    <t>INTERESTED IN SHUTTLE</t>
  </si>
  <si>
    <t>INTERESTED IN DRAWING IN COMPUTER</t>
  </si>
  <si>
    <t>INTERESTED IN PANCHATANTRA COMICS BOOKS</t>
  </si>
  <si>
    <t>INTERESTED IN HISTORY BOOKS</t>
  </si>
  <si>
    <t>INTERESTED IN FAIRY BOOKS</t>
  </si>
  <si>
    <t>INTERESTED IN MORAL BOOKS</t>
  </si>
  <si>
    <t>INTERESTED IN PANCHATANTRA BOOKS</t>
  </si>
  <si>
    <t xml:space="preserve">DRAWING VERY REALISTI , DETALING IS GOOD </t>
  </si>
  <si>
    <t xml:space="preserve">VERY ATTENTIVE IN THE CLASS DRAWING WELL </t>
  </si>
  <si>
    <t>SIMPLIFYING THE FIGURE WELL</t>
  </si>
  <si>
    <t>TAKING FRIENDS HELP TO DRAW THE FIGURE</t>
  </si>
  <si>
    <t>UTILIZING THE LINES WELL</t>
  </si>
  <si>
    <t>EVALUATING THE SHADING WELL</t>
  </si>
  <si>
    <t>DEVELOPING THE VOLUME AND DEPTH OF THE FIGURE</t>
  </si>
  <si>
    <t>DRAWING WELL NEED MORE PRACTICE</t>
  </si>
  <si>
    <t>TRYING TO SIM,PLIFY THE FIGURE</t>
  </si>
  <si>
    <t>WENT TO PARTICEPATE IN ELOCUTION</t>
  </si>
  <si>
    <t>FOLLOWING CORRECT MEASUREMENTS DOING PERFECT WORK</t>
  </si>
  <si>
    <t xml:space="preserve">PERFORMING WELL BUT NEED TO FOLLOW MEASUREMENTS </t>
  </si>
  <si>
    <t>SHOWING VERY MUCH INTEREST PERFORMING WELL</t>
  </si>
  <si>
    <t>NEED TO FOLLOW VERTICAL MEASUREMENT PROPERLY</t>
  </si>
  <si>
    <t>FOLLOWING CORRECT MEASUREMENTS BUT NEED TO IMPROVE</t>
  </si>
  <si>
    <t>NEED TO FOLLOW HORIZONTAL MEASUREMENTS</t>
  </si>
  <si>
    <t>FOLLOWING ONLY HORIZONTAL MEASUREMENTS</t>
  </si>
  <si>
    <t>NEED TO CORRECT THE CURVES</t>
  </si>
  <si>
    <t>SHOWING CLEAR DETALING FOLLOWING CORRECT MEASUREMENT</t>
  </si>
  <si>
    <t>DOING GOOD NEED TO CHECK THE CURVES</t>
  </si>
  <si>
    <t>SHOWING PROGRESS IN THE DRAWING</t>
  </si>
  <si>
    <t>CAPTURING THE PROPORTION ACCURATELY</t>
  </si>
  <si>
    <t>SHOWING GOOD SKILL IN DEPICTING THE DETAILS OF THE OBJECT</t>
  </si>
  <si>
    <t>DEVELOPING A STRONG STYLE IN THE WORK</t>
  </si>
  <si>
    <t>CONTINUE PRACTICING WITH DIFFERENT LINE WEIGHTS</t>
  </si>
  <si>
    <t>OBSERVING THE SUBJECT ANGLES AND DISTANCE BEFORE COMMITTING TO DARK LINES</t>
  </si>
  <si>
    <t>CONTINUE PRACTICING WITH DIFFERENT LINE LENGTH</t>
  </si>
  <si>
    <t>PAYING ATTENTION TO OVERLAPPING ELEMENTS TO AVOID FLOATING LOOK</t>
  </si>
  <si>
    <t>CONTINUE PRACTICING BY FOLLOWING THE MEASUREMENTS PROPERLY</t>
  </si>
  <si>
    <t>NEED TO REDUCE THE PRESSURE ON THE PENCIL</t>
  </si>
  <si>
    <t>GOOD IN CREATING A SERIES OF CONNECTED POINTS THAT FORM A LINE</t>
  </si>
  <si>
    <t xml:space="preserve">                   </t>
  </si>
  <si>
    <t>VERY CONFUSED , TRYING TO FIGURE OUT THE STORY</t>
  </si>
  <si>
    <t>NEED TO BE FOCUSED ,IMPROVE IN FORMATION OF LINES.</t>
  </si>
  <si>
    <t>NEED TO BE FOCUSED ,TRYING TO BE FIGURING IN LINES,BUT NEED TO IMPROVE IN VOCAULARY</t>
  </si>
  <si>
    <t>Feedback (29/12/25)</t>
  </si>
  <si>
    <t>INTERESTED IN READING,VERY CONCENTRACTED ,CLEAR AT EXPLANATION</t>
  </si>
  <si>
    <t>TRYING TO FIGURE OUT THE STORY,BUT NEED TO BUILD UP THE STORY LINES PROPERLY</t>
  </si>
  <si>
    <t>TRYING TO FIGURE OUT THE STORY,BUT NEED TO IMPROVE VOCABULARY</t>
  </si>
  <si>
    <t>VERY GOOD AND INTERESTED IN (COMIC)STORIES,NEED TO BUILD STORY LINE PROPERLY</t>
  </si>
  <si>
    <t>NOT YET CONFIDENT, BUT INTERESTED IN READING, NEED TO BE FOCOUSED MORE</t>
  </si>
  <si>
    <t xml:space="preserve"> INTERESTED IN NEWS PAPER READING</t>
  </si>
  <si>
    <t>INTERESTED IN READING,TRYING TO BUILD THE STORY LINE ,NEED TO BE CONFIDENT&amp;IN VOCABULARY</t>
  </si>
  <si>
    <t>INTERESTED IN VOLLEYBALL&amp;BADMINTON</t>
  </si>
  <si>
    <t>BASIC SKILLS LIKE TYPING &amp;DRAWING</t>
  </si>
  <si>
    <t>INTERESTED IN THROWBALL&amp;CRICKET GOOD IN BOWLING &amp;FEILDING</t>
  </si>
  <si>
    <t>INTERESTED IN EDITING PHOTOS BACKGROUND CHANGING</t>
  </si>
  <si>
    <t>GOOD IN CURVES FINISHING</t>
  </si>
  <si>
    <t>INTERESTED IN COMIC &amp;HISTORIC BOOKS .AT WEEKENDS SPEND TIME BY READING BOOKS</t>
  </si>
  <si>
    <t>INTERESTED IN FOOTBALL,CRICKET, RUNNING GOT 3RD PRIZE.IN CRICKET BOTH BATTING &amp;BOWLING HE IS GOOD</t>
  </si>
  <si>
    <t xml:space="preserve">BASIC SKILLS LIKE TYPING </t>
  </si>
  <si>
    <t>SMOOTH FINISHING NEAT WORK</t>
  </si>
  <si>
    <t>INTERESTED IN MORAL STORIES RELATED TO WILD LIFE</t>
  </si>
  <si>
    <t>INTERESTED IN BADMINTON</t>
  </si>
  <si>
    <t>JUST PARTICIPATING IN TYPING</t>
  </si>
  <si>
    <t>PERFORMING WELL</t>
  </si>
  <si>
    <t>JUST RANDOM BOOKS READING NOT ANY SPECIFIC BOOK</t>
  </si>
  <si>
    <t>RIZWAN</t>
  </si>
  <si>
    <t>INTERESTED IN CRICKET&amp;FOOTBALL</t>
  </si>
  <si>
    <t>BASIC SKILLS LIKE TYPING</t>
  </si>
  <si>
    <t>INTERESTED IN NEWSPAPER READING FOLLOWING NATIONAL NEWS HAVING KNOWLEDGE ABOUT NEW SCHEMES LAUNCHED BY GOVERNMENT</t>
  </si>
  <si>
    <t>INTERESTED IN CRICKET,BADMINTON FOOTBALL</t>
  </si>
  <si>
    <t>INTETRESTED IN MORAL STORIES &amp;COMIC STORIES</t>
  </si>
  <si>
    <t>INTERESTED IN FOOTBALL&amp;CRICKET HE IS GOOD AT BATTING</t>
  </si>
  <si>
    <t>JUST READING RANDOM BOOKS NO SPECIFIC INTEREST IN READING</t>
  </si>
  <si>
    <t>INTERESTED IN CRICKET,FOOTBALL,RUNNING.PARTICIPATED IN 100METERS,200METERS RACE.WON 2ND PRIZE IN 200METERS RACE</t>
  </si>
  <si>
    <t>BASIC SKILL LIKE TYPING</t>
  </si>
  <si>
    <t>DEVELOPING A  STRONG STYLE IN THE WORK</t>
  </si>
  <si>
    <t>INTERESTED IN CRICKET,FOOTBALL</t>
  </si>
  <si>
    <t>RANDOM BOOKS READING NOT SHOWING MUCH INTEREST</t>
  </si>
  <si>
    <t>INTERESTED IN KHO KHO,KHABADI&amp;VOLLEYBALL</t>
  </si>
  <si>
    <t>CREATING DIMENSIONAL DEPTH ON THE SURFACE</t>
  </si>
  <si>
    <t>NOT MUCH INTERESTED IN READING RANDOM BOOKS READING</t>
  </si>
  <si>
    <t>INTERESTED IN KHO KHO ,THROWBALL</t>
  </si>
  <si>
    <t>GOOD IN SMOOTH OUT PENCIL STROKES</t>
  </si>
  <si>
    <t xml:space="preserve">INTERESTED IN VOLLEYBALL&amp;KHOKHO,RUNNER IN KHOKHO </t>
  </si>
  <si>
    <t>LEARNING ABOUT POWERPOINT.AT HOME SHE IS PRACTICING SHE IS LEARNING NEW SKILLS</t>
  </si>
  <si>
    <t>NOT PARICIPATED IN ANY GAMES DUE TO HEALTH ISSUE,BUT LIKES KHOKHO</t>
  </si>
  <si>
    <t>INTERESTED IN COMIC BOOKS</t>
  </si>
  <si>
    <t>INTERESTED IN KHO KHO&amp; THROWBALL</t>
  </si>
  <si>
    <t>LEARNING KRITA 3D ANIMATION PROGRAM ,AND SHOWING INTEREST IN PHOTO EDITING</t>
  </si>
  <si>
    <t>CREATING DIMENSIONAL DEPTH ON THE SURFACE,GOOD AT SEAMLESS EFFECTS</t>
  </si>
  <si>
    <t>INTERESTED IN MORAL STORIES EVEN WATCHES STORIES IN YOUTUBE IN FREE TIME</t>
  </si>
  <si>
    <t>NAZIMA MUBEIN</t>
  </si>
  <si>
    <t>KHALEEL AMAR KHAN</t>
  </si>
  <si>
    <t>GOOD IN PLAYING KHOKHO</t>
  </si>
  <si>
    <t>INTERESTED IN VOLLEYBALL&amp;PARICIPATED IN 100METERS RUNNING RACE</t>
  </si>
  <si>
    <t xml:space="preserve">LEARNING KIRTA 3D ANIMATION </t>
  </si>
  <si>
    <t>DEVELOPING THE VOLUME AND DEPTH IN THE ART</t>
  </si>
  <si>
    <t>INTERESTED IN COMIC BOOKS . READS BOOKS AT HOME WITH HER BROTHER</t>
  </si>
  <si>
    <t>GOOD IN ILLUMINATING THE AREA OF THE OBJECT</t>
  </si>
  <si>
    <t>INTERESTED IN MORAL STORIES&amp; COMIC BOOKS EVEN WATCH STORIES IN PHONE AT FREE TIME</t>
  </si>
  <si>
    <t>INTERESTED IN CRICKET, ALLROUNDER , PRACTICE DAILY NEAR HOME</t>
  </si>
  <si>
    <t>PREFER TO READ HORROR STORIES HAVE A HABIT OF READING BOOKS AT BEDTIME</t>
  </si>
  <si>
    <t>PREFER ALL KIND OF BOOKS TO READ</t>
  </si>
  <si>
    <t>SHOWING WILLINGNESS IN DRAWING</t>
  </si>
  <si>
    <t>LEARNING ABOUT KRITA PROGRAMING</t>
  </si>
  <si>
    <t>DEVELOPING VOLUME AND DEPTH IN THE ART WORK</t>
  </si>
  <si>
    <t>SHOWING PROGRESS IN DRAWING</t>
  </si>
  <si>
    <t>INTERESTED IN FOOTBALL,CRICKET</t>
  </si>
  <si>
    <t>BASIC SKILLS LIKE TYPING&amp;DRAWING</t>
  </si>
  <si>
    <t>INTERESTED IN FOOTBALL,BADMINTON</t>
  </si>
  <si>
    <t>PREFER COMIC STORIES TO READ</t>
  </si>
  <si>
    <t>INTERESTED IN KHOKHO,KHABADI</t>
  </si>
  <si>
    <t>PREFER MORAL STORIES IN READING</t>
  </si>
  <si>
    <t>INTERESTED IN VOLLEYBALL,KHOKHO</t>
  </si>
  <si>
    <t>LEARNING ABOUT KIRTA PROGRAMMING</t>
  </si>
  <si>
    <t>DEVELOPING VOLUME AND DEPTH IN THE WORK</t>
  </si>
  <si>
    <t>PREFER FAIRY TALES TO READ</t>
  </si>
  <si>
    <t>INTERESTED IN KRITA PROGRAMMING</t>
  </si>
  <si>
    <t>PREFER MORAL STORIES TO READ</t>
  </si>
  <si>
    <t>INTERESTED IN FOOTBALL,CRICKET, PARTICIPATED IN RUNNING RACE</t>
  </si>
  <si>
    <t>INTERESTED IN KHOKHO,THROWBALL</t>
  </si>
  <si>
    <t>INTERESTED IN VOLLEYBALL,THROWBALL</t>
  </si>
  <si>
    <t>PREFER FAIRY TALES BOOKS TO READ</t>
  </si>
  <si>
    <t>PREFER TO READ MORAL STORIES HAVING A HABIT OF READING BOOKS AT HOME ALSO</t>
  </si>
  <si>
    <t>DEVELOPING FINE MOTOR SKILLS</t>
  </si>
  <si>
    <t>BASIC SKILLS LIKE TY[ING&amp;DRAWING</t>
  </si>
  <si>
    <t>INTETRESTED IN FOOTBALL,CRICKET</t>
  </si>
  <si>
    <t xml:space="preserve">INTERESTED IN BADMINTON,CRICKET,LIKE TO PLAY BATTING </t>
  </si>
  <si>
    <t>INTERESTED IN BADMINTON ,CRICKET,LIKES TO PLAY BOWLING</t>
  </si>
  <si>
    <t>INTERESTED IN CRICKET BATTING</t>
  </si>
  <si>
    <t>INTERESTED IN FOOTBALL,BADMINTON,CRICKET</t>
  </si>
  <si>
    <t>PREFER TO READ MORAL STORIES</t>
  </si>
  <si>
    <t>PREFER TO READ ALL KIND OF STORIES</t>
  </si>
  <si>
    <t>PREFER TO READ HORROR STORIES</t>
  </si>
  <si>
    <t>PREFER TO READ COMIC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</si>
</sst>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Consolas"/>
      <family val="3"/>
    </font>
  </fonts>
  <fills count="21">
    <fill>
      <patternFill patternType="none"/>
    </fill>
    <fill>
      <patternFill patternType="gray125"/>
    </fill>
    <fill>
      <patternFill patternType="solid">
        <fgColor theme="5"/>
        <bgColor indexed="64"/>
      </patternFill>
    </fill>
    <fill>
      <patternFill patternType="solid">
        <fgColor theme="8" tint="-0.249977111117893"/>
        <bgColor indexed="64"/>
      </patternFill>
    </fill>
    <fill>
      <patternFill patternType="solid">
        <fgColor rgb="FF7030A0"/>
        <bgColor indexed="64"/>
      </patternFill>
    </fill>
    <fill>
      <patternFill patternType="solid">
        <fgColor theme="9"/>
        <bgColor indexed="64"/>
      </patternFill>
    </fill>
    <fill>
      <patternFill patternType="solid">
        <fgColor theme="4" tint="0.79998168889431442"/>
        <bgColor indexed="64"/>
      </patternFill>
    </fill>
    <fill>
      <patternFill patternType="solid">
        <fgColor rgb="FF9966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2" fillId="2" borderId="1" xfId="0" applyFont="1" applyFill="1" applyBorder="1" applyAlignment="1">
      <alignment horizontal="center" vertical="center"/>
    </xf>
    <xf numFmtId="0" fontId="2" fillId="3" borderId="1" xfId="0" applyFont="1" applyFill="1" applyBorder="1"/>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0" borderId="1" xfId="0" applyBorder="1" applyAlignment="1">
      <alignment horizontal="center"/>
    </xf>
    <xf numFmtId="0" fontId="1" fillId="0" borderId="1" xfId="1" applyBorder="1" applyAlignment="1">
      <alignment horizontal="center"/>
    </xf>
    <xf numFmtId="0" fontId="0" fillId="0" borderId="0" xfId="0" applyAlignment="1">
      <alignment horizontal="left" vertical="top" wrapText="1"/>
    </xf>
    <xf numFmtId="0" fontId="0" fillId="0" borderId="1" xfId="0" applyBorder="1"/>
    <xf numFmtId="0" fontId="0" fillId="0" borderId="1" xfId="0" applyBorder="1" applyAlignment="1">
      <alignment wrapText="1"/>
    </xf>
    <xf numFmtId="0" fontId="4" fillId="0" borderId="1" xfId="0" applyFont="1" applyBorder="1" applyAlignment="1">
      <alignment horizontal="left" vertical="center"/>
    </xf>
    <xf numFmtId="0" fontId="0" fillId="0" borderId="5" xfId="0" applyBorder="1" applyAlignment="1">
      <alignment horizontal="center"/>
    </xf>
    <xf numFmtId="0" fontId="0" fillId="0" borderId="0" xfId="0" applyAlignment="1">
      <alignment horizontal="center"/>
    </xf>
    <xf numFmtId="0" fontId="0" fillId="10" borderId="1" xfId="0" applyFill="1" applyBorder="1" applyAlignment="1">
      <alignment horizontal="center"/>
    </xf>
    <xf numFmtId="0" fontId="0" fillId="11" borderId="1" xfId="0" applyFill="1" applyBorder="1" applyAlignment="1">
      <alignment horizontal="center"/>
    </xf>
    <xf numFmtId="0" fontId="0" fillId="12" borderId="1" xfId="0" applyFill="1" applyBorder="1" applyAlignment="1">
      <alignment horizontal="center"/>
    </xf>
    <xf numFmtId="0" fontId="0" fillId="13" borderId="1" xfId="0" applyFill="1" applyBorder="1"/>
    <xf numFmtId="0" fontId="0" fillId="14" borderId="1" xfId="0" applyFill="1" applyBorder="1"/>
    <xf numFmtId="0" fontId="0" fillId="15" borderId="1" xfId="0" applyFill="1" applyBorder="1"/>
    <xf numFmtId="0" fontId="0" fillId="16" borderId="1" xfId="0" applyFill="1" applyBorder="1"/>
    <xf numFmtId="0" fontId="0" fillId="17" borderId="1" xfId="0" applyFill="1" applyBorder="1"/>
    <xf numFmtId="0" fontId="0" fillId="18" borderId="1" xfId="0" applyFill="1" applyBorder="1"/>
    <xf numFmtId="0" fontId="0" fillId="19" borderId="1" xfId="0" applyFill="1" applyBorder="1"/>
    <xf numFmtId="0" fontId="0" fillId="20" borderId="1" xfId="0" applyFill="1" applyBorder="1"/>
    <xf numFmtId="0" fontId="0" fillId="10" borderId="1" xfId="0" applyFill="1" applyBorder="1"/>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2" fillId="3" borderId="1" xfId="0" applyFont="1" applyFill="1" applyBorder="1" applyAlignment="1">
      <alignment horizont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wrapText="1"/>
    </xf>
    <xf numFmtId="0" fontId="2" fillId="3" borderId="6" xfId="0" applyFont="1" applyFill="1" applyBorder="1" applyAlignment="1">
      <alignment horizontal="center" wrapText="1"/>
    </xf>
    <xf numFmtId="0" fontId="2" fillId="4" borderId="1" xfId="0" applyFont="1" applyFill="1" applyBorder="1" applyAlignment="1">
      <alignment horizontal="center" vertical="center"/>
    </xf>
    <xf numFmtId="0" fontId="2" fillId="5" borderId="1" xfId="0" applyFont="1" applyFill="1" applyBorder="1" applyAlignment="1">
      <alignment horizontal="center"/>
    </xf>
  </cellXfs>
  <cellStyles count="2">
    <cellStyle name="Normal" xfId="0" builtinId="0"/>
    <cellStyle name="Normal 2" xfId="1" xr:uid="{B9720C1F-72EF-4929-A89A-41ED133CBE43}"/>
  </cellStyles>
  <dxfs count="987">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7953-386E-4EC5-B5C6-7D4B85A51A58}">
  <dimension ref="A1:BR235"/>
  <sheetViews>
    <sheetView tabSelected="1" topLeftCell="R216" zoomScale="71" zoomScaleNormal="71" workbookViewId="0">
      <selection activeCell="R77" sqref="R77"/>
    </sheetView>
  </sheetViews>
  <sheetFormatPr defaultRowHeight="14.25" x14ac:dyDescent="0.45"/>
  <cols>
    <col min="1" max="1" width="29.59765625" bestFit="1" customWidth="1"/>
    <col min="2" max="2" width="12.86328125" bestFit="1" customWidth="1"/>
    <col min="4" max="4" width="49.1328125" customWidth="1"/>
    <col min="6" max="6" width="69.53125" customWidth="1"/>
    <col min="7" max="7" width="9.06640625" style="15"/>
    <col min="8" max="8" width="66.06640625" customWidth="1"/>
    <col min="10" max="10" width="41.59765625" customWidth="1"/>
    <col min="12" max="12" width="48.86328125" customWidth="1"/>
    <col min="14" max="14" width="51.59765625" customWidth="1"/>
    <col min="16" max="16" width="77.53125" customWidth="1"/>
    <col min="17" max="17" width="9.06640625" customWidth="1"/>
    <col min="18" max="18" width="86.06640625" customWidth="1"/>
    <col min="20" max="20" width="118.59765625" customWidth="1"/>
    <col min="60" max="60" width="62.6640625" customWidth="1"/>
  </cols>
  <sheetData>
    <row r="1" spans="1:70" ht="14.35" customHeight="1" x14ac:dyDescent="0.45">
      <c r="A1" s="1" t="s">
        <v>69</v>
      </c>
      <c r="B1" s="2"/>
      <c r="C1" s="32" t="s">
        <v>0</v>
      </c>
      <c r="D1" s="33"/>
      <c r="E1" s="34" t="s">
        <v>1</v>
      </c>
      <c r="F1" s="35"/>
      <c r="G1" s="31" t="s">
        <v>2</v>
      </c>
      <c r="H1" s="31"/>
      <c r="I1" s="31" t="s">
        <v>3</v>
      </c>
      <c r="J1" s="31"/>
      <c r="K1" s="31" t="s">
        <v>4</v>
      </c>
      <c r="L1" s="31"/>
      <c r="M1" s="31" t="s">
        <v>5</v>
      </c>
      <c r="N1" s="31"/>
      <c r="O1" s="31" t="s">
        <v>6</v>
      </c>
      <c r="P1" s="31"/>
      <c r="Q1" s="31" t="s">
        <v>7</v>
      </c>
      <c r="R1" s="31"/>
      <c r="S1" s="31" t="s">
        <v>8</v>
      </c>
      <c r="T1" s="31"/>
      <c r="U1" s="31" t="s">
        <v>9</v>
      </c>
      <c r="V1" s="31"/>
      <c r="W1" s="31" t="s">
        <v>10</v>
      </c>
      <c r="X1" s="31"/>
      <c r="Y1" s="31" t="s">
        <v>11</v>
      </c>
      <c r="Z1" s="31"/>
      <c r="AA1" s="31" t="s">
        <v>12</v>
      </c>
      <c r="AB1" s="31"/>
      <c r="AC1" s="31" t="s">
        <v>13</v>
      </c>
      <c r="AD1" s="31"/>
      <c r="AE1" s="31" t="s">
        <v>14</v>
      </c>
      <c r="AF1" s="31"/>
      <c r="AG1" s="31" t="s">
        <v>15</v>
      </c>
      <c r="AH1" s="31"/>
      <c r="AI1" s="31" t="s">
        <v>16</v>
      </c>
      <c r="AJ1" s="31"/>
      <c r="AK1" s="31" t="s">
        <v>17</v>
      </c>
      <c r="AL1" s="31"/>
      <c r="AM1" s="31" t="s">
        <v>18</v>
      </c>
      <c r="AN1" s="31"/>
      <c r="AO1" s="31" t="s">
        <v>19</v>
      </c>
      <c r="AP1" s="31"/>
      <c r="AQ1" s="31" t="s">
        <v>20</v>
      </c>
      <c r="AR1" s="31"/>
      <c r="AS1" s="31" t="s">
        <v>21</v>
      </c>
      <c r="AT1" s="31"/>
      <c r="AU1" s="31" t="s">
        <v>22</v>
      </c>
      <c r="AV1" s="31"/>
      <c r="AW1" s="31" t="s">
        <v>23</v>
      </c>
      <c r="AX1" s="31"/>
      <c r="AY1" s="31" t="s">
        <v>24</v>
      </c>
      <c r="AZ1" s="31"/>
      <c r="BA1" s="31" t="s">
        <v>25</v>
      </c>
      <c r="BB1" s="31"/>
      <c r="BC1" s="31" t="s">
        <v>26</v>
      </c>
      <c r="BD1" s="31"/>
      <c r="BE1" s="31" t="s">
        <v>27</v>
      </c>
      <c r="BF1" s="31"/>
      <c r="BG1" s="31" t="s">
        <v>28</v>
      </c>
      <c r="BH1" s="31"/>
      <c r="BI1" s="31" t="s">
        <v>29</v>
      </c>
      <c r="BJ1" s="31"/>
      <c r="BK1" s="36" t="s">
        <v>30</v>
      </c>
      <c r="BL1" s="36"/>
      <c r="BM1" s="37" t="s">
        <v>31</v>
      </c>
      <c r="BN1" s="37"/>
      <c r="BO1" s="37" t="s">
        <v>32</v>
      </c>
      <c r="BP1" s="37"/>
      <c r="BQ1" s="37" t="s">
        <v>33</v>
      </c>
      <c r="BR1" s="37"/>
    </row>
    <row r="2" spans="1:70" ht="14.35" customHeight="1" x14ac:dyDescent="0.45">
      <c r="A2" s="3" t="s">
        <v>34</v>
      </c>
      <c r="B2" s="3" t="s">
        <v>35</v>
      </c>
      <c r="C2" s="4" t="s">
        <v>36</v>
      </c>
      <c r="D2" s="4" t="s">
        <v>37</v>
      </c>
      <c r="E2" s="4" t="s">
        <v>36</v>
      </c>
      <c r="F2" s="4" t="s">
        <v>37</v>
      </c>
      <c r="G2" s="4" t="s">
        <v>36</v>
      </c>
      <c r="H2" s="4" t="s">
        <v>37</v>
      </c>
      <c r="I2" s="4" t="s">
        <v>36</v>
      </c>
      <c r="J2" s="4" t="s">
        <v>37</v>
      </c>
      <c r="K2" s="4" t="s">
        <v>36</v>
      </c>
      <c r="L2" s="4" t="s">
        <v>37</v>
      </c>
      <c r="M2" s="4" t="s">
        <v>36</v>
      </c>
      <c r="N2" s="4" t="s">
        <v>37</v>
      </c>
      <c r="O2" s="4" t="s">
        <v>36</v>
      </c>
      <c r="P2" s="4" t="s">
        <v>37</v>
      </c>
      <c r="Q2" s="4" t="s">
        <v>36</v>
      </c>
      <c r="R2" s="4" t="s">
        <v>234</v>
      </c>
      <c r="S2" s="4" t="s">
        <v>36</v>
      </c>
      <c r="T2" s="4" t="s">
        <v>37</v>
      </c>
      <c r="U2" s="4" t="s">
        <v>36</v>
      </c>
      <c r="V2" s="4" t="s">
        <v>37</v>
      </c>
      <c r="W2" s="4" t="s">
        <v>36</v>
      </c>
      <c r="X2" s="4" t="s">
        <v>37</v>
      </c>
      <c r="Y2" s="4" t="s">
        <v>36</v>
      </c>
      <c r="Z2" s="4" t="s">
        <v>37</v>
      </c>
      <c r="AA2" s="4" t="s">
        <v>36</v>
      </c>
      <c r="AB2" s="4" t="s">
        <v>37</v>
      </c>
      <c r="AC2" s="4" t="s">
        <v>36</v>
      </c>
      <c r="AD2" s="4" t="s">
        <v>37</v>
      </c>
      <c r="AE2" s="4" t="s">
        <v>36</v>
      </c>
      <c r="AF2" s="4" t="s">
        <v>37</v>
      </c>
      <c r="AG2" s="4" t="s">
        <v>36</v>
      </c>
      <c r="AH2" s="4" t="s">
        <v>37</v>
      </c>
      <c r="AI2" s="4" t="s">
        <v>36</v>
      </c>
      <c r="AJ2" s="4" t="s">
        <v>37</v>
      </c>
      <c r="AK2" s="4" t="s">
        <v>36</v>
      </c>
      <c r="AL2" s="4" t="s">
        <v>37</v>
      </c>
      <c r="AM2" s="4" t="s">
        <v>36</v>
      </c>
      <c r="AN2" s="4" t="s">
        <v>37</v>
      </c>
      <c r="AO2" s="4" t="s">
        <v>36</v>
      </c>
      <c r="AP2" s="4" t="s">
        <v>37</v>
      </c>
      <c r="AQ2" s="4" t="s">
        <v>36</v>
      </c>
      <c r="AR2" s="4" t="s">
        <v>37</v>
      </c>
      <c r="AS2" s="4" t="s">
        <v>36</v>
      </c>
      <c r="AT2" s="4" t="s">
        <v>37</v>
      </c>
      <c r="AU2" s="4" t="s">
        <v>36</v>
      </c>
      <c r="AV2" s="4" t="s">
        <v>37</v>
      </c>
      <c r="AW2" s="4" t="s">
        <v>36</v>
      </c>
      <c r="AX2" s="4" t="s">
        <v>37</v>
      </c>
      <c r="AY2" s="4" t="s">
        <v>36</v>
      </c>
      <c r="AZ2" s="4" t="s">
        <v>37</v>
      </c>
      <c r="BA2" s="4" t="s">
        <v>36</v>
      </c>
      <c r="BB2" s="4" t="s">
        <v>37</v>
      </c>
      <c r="BC2" s="4" t="s">
        <v>36</v>
      </c>
      <c r="BD2" s="4" t="s">
        <v>37</v>
      </c>
      <c r="BE2" s="4" t="s">
        <v>36</v>
      </c>
      <c r="BF2" s="4" t="s">
        <v>37</v>
      </c>
      <c r="BG2" s="4" t="s">
        <v>36</v>
      </c>
      <c r="BH2" s="4" t="s">
        <v>37</v>
      </c>
      <c r="BI2" s="4" t="s">
        <v>36</v>
      </c>
      <c r="BJ2" s="4" t="s">
        <v>37</v>
      </c>
      <c r="BK2" s="5" t="s">
        <v>38</v>
      </c>
      <c r="BL2" s="6" t="s">
        <v>39</v>
      </c>
      <c r="BM2" s="7" t="s">
        <v>36</v>
      </c>
      <c r="BN2" s="7" t="s">
        <v>37</v>
      </c>
      <c r="BO2" s="7" t="s">
        <v>36</v>
      </c>
      <c r="BP2" s="7" t="s">
        <v>37</v>
      </c>
      <c r="BQ2" s="7" t="s">
        <v>36</v>
      </c>
      <c r="BR2" s="7" t="s">
        <v>37</v>
      </c>
    </row>
    <row r="3" spans="1:70" ht="14.35" customHeight="1" x14ac:dyDescent="0.45">
      <c r="A3" s="28" t="s">
        <v>93</v>
      </c>
      <c r="B3" s="8" t="s">
        <v>40</v>
      </c>
      <c r="C3" s="9"/>
      <c r="D3" s="10"/>
      <c r="E3" s="8"/>
      <c r="F3" s="11"/>
      <c r="G3" s="8"/>
      <c r="H3" s="11"/>
      <c r="I3" s="8"/>
      <c r="J3" s="11"/>
      <c r="K3" s="17">
        <v>40</v>
      </c>
      <c r="L3" s="11" t="s">
        <v>175</v>
      </c>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8">
        <f>IFERROR(AVERAGEIF(C3:BI3,"&lt;&gt;nill"), "")</f>
        <v>40</v>
      </c>
      <c r="BL3" s="12" t="str" cm="1">
        <f t="array" ref="BL3">_xlfn.TEXTJOIN(" ", TRUE, _xlfn._xlws.FILTER(C3:BJ3, MOD(COLUMN(C3:BJ3)-COLUMN(BN3),2)=0))</f>
        <v>AVERAGE PERFORMANCE IN STUIDIES</v>
      </c>
      <c r="BM3" s="8"/>
      <c r="BN3" s="13"/>
      <c r="BO3" s="8"/>
      <c r="BP3" s="13"/>
      <c r="BQ3" s="8"/>
      <c r="BR3" s="13"/>
    </row>
    <row r="4" spans="1:70" ht="14.35" customHeight="1" x14ac:dyDescent="0.45">
      <c r="A4" s="29"/>
      <c r="B4" s="8" t="s">
        <v>41</v>
      </c>
      <c r="C4" s="8">
        <v>50</v>
      </c>
      <c r="D4" s="11" t="s">
        <v>101</v>
      </c>
      <c r="E4" s="16">
        <v>65</v>
      </c>
      <c r="F4" s="11" t="s">
        <v>102</v>
      </c>
      <c r="G4" s="8">
        <v>75</v>
      </c>
      <c r="H4" s="11" t="s">
        <v>103</v>
      </c>
      <c r="I4" s="18">
        <v>85</v>
      </c>
      <c r="J4" s="11" t="s">
        <v>103</v>
      </c>
      <c r="K4" s="18">
        <v>85</v>
      </c>
      <c r="L4" s="11" t="s">
        <v>186</v>
      </c>
      <c r="M4" s="18">
        <v>85</v>
      </c>
      <c r="N4" s="11" t="s">
        <v>103</v>
      </c>
      <c r="O4" s="11"/>
      <c r="P4" s="11"/>
      <c r="Q4" s="11"/>
      <c r="R4" s="11"/>
      <c r="S4" s="11">
        <v>75</v>
      </c>
      <c r="T4" s="11" t="s">
        <v>242</v>
      </c>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8">
        <f t="shared" ref="BG4:BG35" si="0">IFERROR(AVERAGEIF(C4:BE4,"&lt;&gt;nill"), "")</f>
        <v>74.285714285714292</v>
      </c>
      <c r="BH4" s="12" t="str" cm="1">
        <f t="array" ref="BH4">_xlfn.TEXTJOIN(" ", TRUE, _xlfn._xlws.FILTER(C4:BF4, MOD(COLUMN(C4:BF4)-COLUMN(BJ4),2)=0))</f>
        <v>GOOD IN PLAYING FOOTBALL GOOD IN PLAYING SHUTTLE PLAYING WELL SHUTTLE PLAYING WELL SHUTTLE INTERESTED IN CEICKET PLAYING WELL SHUTTLE INTERESTED IN VOLLEYBALL&amp;BADMINTON</v>
      </c>
      <c r="BI4" s="8">
        <v>50</v>
      </c>
      <c r="BJ4" s="13"/>
      <c r="BK4" s="8"/>
      <c r="BL4" s="13"/>
      <c r="BM4" s="8"/>
      <c r="BN4" s="13"/>
    </row>
    <row r="5" spans="1:70" ht="14.35" customHeight="1" x14ac:dyDescent="0.45">
      <c r="A5" s="29"/>
      <c r="B5" s="8" t="s">
        <v>42</v>
      </c>
      <c r="C5" s="8">
        <v>50</v>
      </c>
      <c r="D5" s="11" t="s">
        <v>105</v>
      </c>
      <c r="E5" s="8">
        <v>50</v>
      </c>
      <c r="F5" s="11" t="s">
        <v>106</v>
      </c>
      <c r="G5" s="8">
        <v>50</v>
      </c>
      <c r="H5" s="11" t="s">
        <v>107</v>
      </c>
      <c r="I5" s="16">
        <v>65</v>
      </c>
      <c r="J5" s="11" t="s">
        <v>157</v>
      </c>
      <c r="K5" s="8">
        <v>75</v>
      </c>
      <c r="L5" s="11" t="s">
        <v>187</v>
      </c>
      <c r="M5" s="16">
        <v>65</v>
      </c>
      <c r="N5" s="11" t="s">
        <v>157</v>
      </c>
      <c r="O5" s="11"/>
      <c r="P5" s="11"/>
      <c r="Q5" s="11"/>
      <c r="R5" s="11"/>
      <c r="S5" s="11">
        <v>75</v>
      </c>
      <c r="T5" s="11" t="s">
        <v>243</v>
      </c>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8">
        <f t="shared" si="0"/>
        <v>61.428571428571431</v>
      </c>
      <c r="BH5" s="12" t="str" cm="1">
        <f t="array" ref="BH5">_xlfn.TEXTJOIN(" ", TRUE, _xlfn._xlws.FILTER(C5:BF5, MOD(COLUMN(C5:BF5)-COLUMN(BJ5),2)=0))</f>
        <v>SHOWING INTEREST NEED TO PRATICE ANSWERING WELL PERFORMING WELL NEED MOTIVATION NEED MORE PRACTICE CAN DO BETTER  PERFORMING WELL NEED MOTIVATION INTERESTED IN GAMING , TYPING IN COMPUTER  PERFORMING WELL NEED MOTIVATION BASIC SKILLS LIKE TYPING &amp;DRAWING</v>
      </c>
      <c r="BI5" s="8"/>
      <c r="BJ5" s="13"/>
      <c r="BK5" s="8"/>
      <c r="BL5" s="13"/>
      <c r="BM5" s="8"/>
      <c r="BN5" s="13"/>
    </row>
    <row r="6" spans="1:70" ht="14.35" customHeight="1" x14ac:dyDescent="0.45">
      <c r="A6" s="29"/>
      <c r="B6" s="8" t="s">
        <v>43</v>
      </c>
      <c r="C6" s="8">
        <v>50</v>
      </c>
      <c r="D6" s="11" t="s">
        <v>70</v>
      </c>
      <c r="E6" s="8">
        <v>50</v>
      </c>
      <c r="F6" s="11" t="s">
        <v>124</v>
      </c>
      <c r="G6" s="16">
        <v>65</v>
      </c>
      <c r="H6" s="11" t="s">
        <v>141</v>
      </c>
      <c r="I6" s="8">
        <v>75</v>
      </c>
      <c r="J6" s="11" t="s">
        <v>158</v>
      </c>
      <c r="K6" s="18">
        <v>85</v>
      </c>
      <c r="L6" s="11" t="s">
        <v>188</v>
      </c>
      <c r="M6" s="11"/>
      <c r="N6" s="11" t="s">
        <v>208</v>
      </c>
      <c r="O6" s="11">
        <v>25</v>
      </c>
      <c r="P6" s="11" t="s">
        <v>77</v>
      </c>
      <c r="Q6" s="11"/>
      <c r="R6" s="11"/>
      <c r="S6" s="22">
        <v>70</v>
      </c>
      <c r="T6" s="11" t="s">
        <v>133</v>
      </c>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8">
        <f t="shared" si="0"/>
        <v>60</v>
      </c>
      <c r="BH6" s="12" t="str" cm="1">
        <f t="array" ref="BH6">_xlfn.TEXTJOIN(" ", TRUE, _xlfn._xlws.FILTER(C6:BF6, MOD(COLUMN(C6:BF6)-COLUMN(BJ6),2)=0))</f>
        <v>AVERAGE PARTICIPATION IN THE CLASS ACTIVE IN THE CLASS PERFORMING WELL EVALUATING THE SHADINGNWELL BUILDING GRADUAL TONAL TRASITION INTERESTED IN DRAWING WENT TO PARTICEPATE IN ELOCUTION NEUTRAL PARTICIPATION GOOD IN VISUAL COMPONENTS</v>
      </c>
      <c r="BI6" s="8"/>
      <c r="BJ6" s="13"/>
      <c r="BK6" s="8"/>
      <c r="BL6" s="13"/>
      <c r="BM6" s="8"/>
      <c r="BN6" s="13"/>
    </row>
    <row r="7" spans="1:70" ht="14.35" customHeight="1" x14ac:dyDescent="0.45">
      <c r="A7" s="29"/>
      <c r="B7" s="8" t="s">
        <v>44</v>
      </c>
      <c r="C7" s="8"/>
      <c r="D7" s="11" t="s">
        <v>99</v>
      </c>
      <c r="E7" s="8">
        <v>25</v>
      </c>
      <c r="F7" s="11" t="s">
        <v>91</v>
      </c>
      <c r="G7" s="8">
        <v>50</v>
      </c>
      <c r="H7" s="11" t="s">
        <v>108</v>
      </c>
      <c r="I7" s="8">
        <v>50</v>
      </c>
      <c r="J7" s="11" t="s">
        <v>108</v>
      </c>
      <c r="K7" s="8"/>
      <c r="L7" s="11"/>
      <c r="M7" s="11"/>
      <c r="N7" s="11"/>
      <c r="O7" s="11"/>
      <c r="P7" s="11"/>
      <c r="Q7" s="11">
        <v>25</v>
      </c>
      <c r="R7" s="11" t="s">
        <v>77</v>
      </c>
      <c r="S7" s="22">
        <v>70</v>
      </c>
      <c r="T7" s="11" t="s">
        <v>110</v>
      </c>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8">
        <f t="shared" si="0"/>
        <v>44</v>
      </c>
      <c r="BH7" s="12" t="str" cm="1">
        <f t="array" ref="BH7">_xlfn.TEXTJOIN(" ", TRUE, _xlfn._xlws.FILTER(C7:BF7, MOD(COLUMN(C7:BF7)-COLUMN(BJ7),2)=0))</f>
        <v>CLASS CANCELLED JUST PARTICIPATING GOOD IN READING GOOD IN READING NEUTRAL PARTICIPATION INTERESTED IN MORAL STORIES</v>
      </c>
      <c r="BI7" s="8"/>
      <c r="BJ7" s="13"/>
      <c r="BK7" s="8"/>
      <c r="BL7" s="13"/>
      <c r="BM7" s="8"/>
      <c r="BN7" s="13"/>
    </row>
    <row r="8" spans="1:70" ht="14.35" customHeight="1" x14ac:dyDescent="0.45">
      <c r="A8" s="30"/>
      <c r="B8" s="8" t="s">
        <v>45</v>
      </c>
      <c r="C8" s="8"/>
      <c r="D8" s="11"/>
      <c r="E8" s="8"/>
      <c r="F8" s="11"/>
      <c r="G8" s="8"/>
      <c r="H8" s="11"/>
      <c r="I8" s="8"/>
      <c r="J8" s="11"/>
      <c r="K8" s="8"/>
      <c r="L8" s="11"/>
      <c r="M8" s="11"/>
      <c r="N8" s="11"/>
      <c r="O8" s="11"/>
      <c r="P8" s="11"/>
      <c r="Q8" s="11"/>
      <c r="R8" s="11" t="s">
        <v>230</v>
      </c>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8" t="str">
        <f t="shared" si="0"/>
        <v/>
      </c>
      <c r="BH8" s="12" t="str" cm="1">
        <f t="array" ref="BH8">_xlfn.TEXTJOIN(" ", TRUE, _xlfn._xlws.FILTER(C8:BF8, MOD(COLUMN(C8:BF8)-COLUMN(BJ8),2)=0))</f>
        <v xml:space="preserve">                   </v>
      </c>
      <c r="BI8" s="8"/>
      <c r="BJ8" s="11"/>
      <c r="BK8" s="8"/>
      <c r="BL8" s="11"/>
      <c r="BM8" s="8"/>
      <c r="BN8" s="11"/>
    </row>
    <row r="9" spans="1:70" ht="14.35" customHeight="1" x14ac:dyDescent="0.45">
      <c r="A9" s="28" t="s">
        <v>46</v>
      </c>
      <c r="B9" s="8" t="s">
        <v>40</v>
      </c>
      <c r="C9" s="8"/>
      <c r="D9" s="11"/>
      <c r="E9" s="8"/>
      <c r="F9" s="11"/>
      <c r="G9" s="8"/>
      <c r="H9" s="11"/>
      <c r="I9" s="8"/>
      <c r="J9" s="11"/>
      <c r="K9" s="17">
        <v>71</v>
      </c>
      <c r="L9" s="11" t="s">
        <v>178</v>
      </c>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8">
        <f t="shared" si="0"/>
        <v>71</v>
      </c>
      <c r="BH9" s="12" t="str" cm="1">
        <f t="array" ref="BH9">_xlfn.TEXTJOIN(" ", TRUE, _xlfn._xlws.FILTER(C9:BF9, MOD(COLUMN(C9:BF9)-COLUMN(BJ9),2)=0))</f>
        <v>GOOD IN BIOLOGY</v>
      </c>
      <c r="BI9" s="8"/>
      <c r="BJ9" s="11"/>
      <c r="BK9" s="8"/>
      <c r="BL9" s="11"/>
      <c r="BM9" s="8"/>
      <c r="BN9" s="11"/>
    </row>
    <row r="10" spans="1:70" ht="14.35" customHeight="1" x14ac:dyDescent="0.45">
      <c r="A10" s="29"/>
      <c r="B10" s="8" t="s">
        <v>41</v>
      </c>
      <c r="C10" s="8">
        <v>50</v>
      </c>
      <c r="D10" s="11" t="s">
        <v>101</v>
      </c>
      <c r="E10" s="16">
        <v>65</v>
      </c>
      <c r="F10" s="11" t="s">
        <v>102</v>
      </c>
      <c r="G10" s="8">
        <v>75</v>
      </c>
      <c r="H10" s="11" t="s">
        <v>103</v>
      </c>
      <c r="I10" s="18">
        <v>85</v>
      </c>
      <c r="J10" s="11" t="s">
        <v>103</v>
      </c>
      <c r="K10" s="18">
        <v>85</v>
      </c>
      <c r="L10" s="11" t="s">
        <v>191</v>
      </c>
      <c r="M10" s="18">
        <v>85</v>
      </c>
      <c r="N10" s="11" t="s">
        <v>103</v>
      </c>
      <c r="O10" s="11"/>
      <c r="P10" s="11"/>
      <c r="Q10" s="11"/>
      <c r="R10" s="11"/>
      <c r="S10" s="23">
        <v>80</v>
      </c>
      <c r="T10" s="11" t="s">
        <v>244</v>
      </c>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8">
        <f t="shared" si="0"/>
        <v>75</v>
      </c>
      <c r="BH10" s="12" t="str" cm="1">
        <f t="array" ref="BH10">_xlfn.TEXTJOIN(" ", TRUE, _xlfn._xlws.FILTER(C10:BF10, MOD(COLUMN(C10:BF10)-COLUMN(BJ10),2)=0))</f>
        <v>GOOD IN PLAYING FOOTBALL GOOD IN PLAYING SHUTTLE PLAYING WELL SHUTTLE PLAYING WELL SHUTTLE INTERESTED IN KHABADI PLAYING WELL SHUTTLE INTERESTED IN THROWBALL&amp;CRICKET GOOD IN BOWLING &amp;FEILDING</v>
      </c>
      <c r="BI10" s="8"/>
      <c r="BJ10" s="11"/>
      <c r="BK10" s="8"/>
      <c r="BL10" s="11"/>
      <c r="BM10" s="8"/>
      <c r="BN10" s="11"/>
    </row>
    <row r="11" spans="1:70" ht="14.35" customHeight="1" x14ac:dyDescent="0.45">
      <c r="A11" s="29"/>
      <c r="B11" s="8" t="s">
        <v>42</v>
      </c>
      <c r="C11" s="8">
        <v>50</v>
      </c>
      <c r="D11" s="11" t="s">
        <v>105</v>
      </c>
      <c r="E11" s="8">
        <v>50</v>
      </c>
      <c r="F11" s="11" t="s">
        <v>106</v>
      </c>
      <c r="G11" s="8">
        <v>50</v>
      </c>
      <c r="H11" s="11" t="s">
        <v>107</v>
      </c>
      <c r="I11" s="16">
        <v>65</v>
      </c>
      <c r="J11" s="11" t="s">
        <v>157</v>
      </c>
      <c r="K11" s="18">
        <v>85</v>
      </c>
      <c r="L11" s="11" t="s">
        <v>187</v>
      </c>
      <c r="M11" s="16">
        <v>65</v>
      </c>
      <c r="N11" s="11" t="s">
        <v>157</v>
      </c>
      <c r="O11" s="11"/>
      <c r="P11" s="11"/>
      <c r="Q11" s="11"/>
      <c r="R11" s="11"/>
      <c r="S11" s="23">
        <v>80</v>
      </c>
      <c r="T11" s="11" t="s">
        <v>245</v>
      </c>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8">
        <f t="shared" si="0"/>
        <v>63.571428571428569</v>
      </c>
      <c r="BH11" s="12" t="str" cm="1">
        <f t="array" ref="BH11">_xlfn.TEXTJOIN(" ", TRUE, _xlfn._xlws.FILTER(C11:BF11, MOD(COLUMN(C11:BF11)-COLUMN(BJ11),2)=0))</f>
        <v>SHOWING INTEREST NEED TO PRATICE ANSWERING WELL PERFORMING WELL NEED MOTIVATION NEED MORE PRACTICE CAN DO BETTER  PERFORMING WELL NEED MOTIVATION INTERESTED IN GAMING , TYPING IN COMPUTER  PERFORMING WELL NEED MOTIVATION INTERESTED IN EDITING PHOTOS BACKGROUND CHANGING</v>
      </c>
      <c r="BI11" s="8"/>
      <c r="BJ11" s="11"/>
      <c r="BK11" s="8"/>
      <c r="BL11" s="11"/>
      <c r="BM11" s="8"/>
      <c r="BN11" s="11"/>
    </row>
    <row r="12" spans="1:70" ht="14.35" customHeight="1" x14ac:dyDescent="0.45">
      <c r="A12" s="29"/>
      <c r="B12" s="8" t="s">
        <v>43</v>
      </c>
      <c r="C12" s="8">
        <v>75</v>
      </c>
      <c r="D12" s="11" t="s">
        <v>71</v>
      </c>
      <c r="E12" s="16">
        <v>75</v>
      </c>
      <c r="F12" s="11" t="s">
        <v>125</v>
      </c>
      <c r="G12" s="8">
        <v>75</v>
      </c>
      <c r="H12" s="11" t="s">
        <v>142</v>
      </c>
      <c r="I12" s="8">
        <v>75</v>
      </c>
      <c r="J12" s="11" t="s">
        <v>159</v>
      </c>
      <c r="K12" s="8">
        <v>75</v>
      </c>
      <c r="L12" s="11" t="s">
        <v>188</v>
      </c>
      <c r="M12" s="11">
        <v>75</v>
      </c>
      <c r="N12" s="11" t="s">
        <v>204</v>
      </c>
      <c r="O12" s="11">
        <v>80</v>
      </c>
      <c r="P12" s="11" t="s">
        <v>209</v>
      </c>
      <c r="Q12" s="11"/>
      <c r="R12" s="11"/>
      <c r="S12" s="22">
        <v>70</v>
      </c>
      <c r="T12" s="11" t="s">
        <v>246</v>
      </c>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8">
        <f t="shared" si="0"/>
        <v>75</v>
      </c>
      <c r="BH12" s="12" t="str" cm="1">
        <f t="array" ref="BH12">_xlfn.TEXTJOIN(" ", TRUE, _xlfn._xlws.FILTER(C12:BF12, MOD(COLUMN(C12:BF12)-COLUMN(BJ12),2)=0))</f>
        <v>NEAT FINISHING DOING GOOD IN CLASS PROPORTION OF THE FIGURE IS ACCURATE AND NEAT ILLUMINATING THE SHADOWED AREA OF THE OBJECT GOOD OBSERVATION INTERESTED IN DRAWING EVALUATING THE SHADING WELL FOLLOWING CORRECT MEASUREMENTS DOING PERFECT WORK GOOD IN CURVES FINISHING</v>
      </c>
      <c r="BI12" s="8"/>
      <c r="BJ12" s="11"/>
      <c r="BK12" s="8"/>
      <c r="BL12" s="11"/>
      <c r="BM12" s="8"/>
      <c r="BN12" s="11"/>
    </row>
    <row r="13" spans="1:70" ht="14.35" customHeight="1" x14ac:dyDescent="0.45">
      <c r="A13" s="29"/>
      <c r="B13" s="8" t="s">
        <v>44</v>
      </c>
      <c r="C13" s="8"/>
      <c r="D13" s="11" t="s">
        <v>99</v>
      </c>
      <c r="E13" s="8">
        <v>50</v>
      </c>
      <c r="F13" s="11" t="s">
        <v>96</v>
      </c>
      <c r="G13" s="8">
        <v>50</v>
      </c>
      <c r="H13" s="11" t="s">
        <v>118</v>
      </c>
      <c r="I13" s="8">
        <v>50</v>
      </c>
      <c r="J13" s="11" t="s">
        <v>168</v>
      </c>
      <c r="K13" s="8">
        <v>75</v>
      </c>
      <c r="L13" s="11" t="s">
        <v>197</v>
      </c>
      <c r="M13" s="11"/>
      <c r="N13" s="11"/>
      <c r="O13" s="11"/>
      <c r="P13" s="11"/>
      <c r="Q13" s="11"/>
      <c r="R13" s="11"/>
      <c r="S13" s="21">
        <v>85</v>
      </c>
      <c r="T13" s="11" t="s">
        <v>247</v>
      </c>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8">
        <f t="shared" si="0"/>
        <v>62</v>
      </c>
      <c r="BH13" s="12" t="str" cm="1">
        <f t="array" ref="BH13">_xlfn.TEXTJOIN(" ", TRUE, _xlfn._xlws.FILTER(C13:BF13, MOD(COLUMN(C13:BF13)-COLUMN(BJ13),2)=0))</f>
        <v>CLASS CANCELLED DOING GOOD BUT NEED TO CONCENTRATE GOOD IN READING SHOWING INTEREST GOOD IN READING NEED TO CONCENTRATE INTERESTED IN MORAL BOOKS INTERESTED IN COMIC &amp;HISTORIC BOOKS .AT WEEKENDS SPEND TIME BY READING BOOKS</v>
      </c>
      <c r="BI13" s="8"/>
      <c r="BJ13" s="11"/>
      <c r="BK13" s="8"/>
      <c r="BL13" s="11"/>
      <c r="BM13" s="8"/>
      <c r="BN13" s="11"/>
    </row>
    <row r="14" spans="1:70" ht="14.35" customHeight="1" x14ac:dyDescent="0.45">
      <c r="A14" s="30"/>
      <c r="B14" s="8" t="s">
        <v>45</v>
      </c>
      <c r="C14" s="8"/>
      <c r="D14" s="11"/>
      <c r="E14" s="8"/>
      <c r="F14" s="11"/>
      <c r="G14" s="8"/>
      <c r="I14" s="8"/>
      <c r="J14" s="11"/>
      <c r="K14" s="8"/>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8" t="str">
        <f t="shared" si="0"/>
        <v/>
      </c>
      <c r="BH14" s="12" t="str" cm="1">
        <f t="array" ref="BH14">_xlfn.TEXTJOIN(" ", TRUE, _xlfn._xlws.FILTER(C14:BF14, MOD(COLUMN(C14:BF14)-COLUMN(BJ14),2)=0))</f>
        <v/>
      </c>
      <c r="BI14" s="8"/>
      <c r="BJ14" s="11"/>
      <c r="BK14" s="8"/>
      <c r="BL14" s="11"/>
      <c r="BM14" s="8"/>
      <c r="BN14" s="11"/>
    </row>
    <row r="15" spans="1:70" ht="14.35" customHeight="1" x14ac:dyDescent="0.45">
      <c r="A15" s="28" t="s">
        <v>47</v>
      </c>
      <c r="B15" s="8" t="s">
        <v>40</v>
      </c>
      <c r="C15" s="8"/>
      <c r="D15" s="11"/>
      <c r="E15" s="8"/>
      <c r="F15" s="11"/>
      <c r="G15" s="8"/>
      <c r="H15" s="11"/>
      <c r="I15" s="8"/>
      <c r="J15" s="11"/>
      <c r="K15" s="17">
        <v>32</v>
      </c>
      <c r="L15" s="11" t="s">
        <v>175</v>
      </c>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8">
        <f t="shared" si="0"/>
        <v>32</v>
      </c>
      <c r="BH15" s="12" t="str" cm="1">
        <f t="array" ref="BH15">_xlfn.TEXTJOIN(" ", TRUE, _xlfn._xlws.FILTER(C15:BF15, MOD(COLUMN(C15:BF15)-COLUMN(BJ15),2)=0))</f>
        <v>AVERAGE PERFORMANCE IN STUIDIES</v>
      </c>
      <c r="BI15" s="8"/>
      <c r="BJ15" s="11"/>
      <c r="BK15" s="8"/>
      <c r="BL15" s="11"/>
      <c r="BM15" s="8"/>
      <c r="BN15" s="11"/>
    </row>
    <row r="16" spans="1:70" ht="14.35" customHeight="1" x14ac:dyDescent="0.45">
      <c r="A16" s="29"/>
      <c r="B16" s="8" t="s">
        <v>41</v>
      </c>
      <c r="C16" s="8">
        <v>50</v>
      </c>
      <c r="D16" s="11" t="s">
        <v>101</v>
      </c>
      <c r="E16" s="16">
        <v>65</v>
      </c>
      <c r="F16" s="11" t="s">
        <v>102</v>
      </c>
      <c r="G16" s="8">
        <v>75</v>
      </c>
      <c r="H16" s="11" t="s">
        <v>103</v>
      </c>
      <c r="I16" s="18">
        <v>85</v>
      </c>
      <c r="J16" s="11" t="s">
        <v>103</v>
      </c>
      <c r="K16" s="18">
        <v>85</v>
      </c>
      <c r="L16" s="11" t="s">
        <v>186</v>
      </c>
      <c r="M16" s="18">
        <v>85</v>
      </c>
      <c r="N16" s="11" t="s">
        <v>103</v>
      </c>
      <c r="O16" s="11"/>
      <c r="P16" s="11"/>
      <c r="Q16" s="11"/>
      <c r="R16" s="11"/>
      <c r="S16" s="23">
        <v>80</v>
      </c>
      <c r="T16" s="11" t="s">
        <v>298</v>
      </c>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8">
        <f t="shared" si="0"/>
        <v>75</v>
      </c>
      <c r="BH16" s="12" t="str" cm="1">
        <f t="array" ref="BH16">_xlfn.TEXTJOIN(" ", TRUE, _xlfn._xlws.FILTER(C16:BF16, MOD(COLUMN(C16:BF16)-COLUMN(BJ16),2)=0))</f>
        <v>GOOD IN PLAYING FOOTBALL GOOD IN PLAYING SHUTTLE PLAYING WELL SHUTTLE PLAYING WELL SHUTTLE INTERESTED IN CEICKET PLAYING WELL SHUTTLE INTERESTED IN FOOTBALL,CRICKET</v>
      </c>
      <c r="BI16" s="8"/>
      <c r="BJ16" s="11"/>
      <c r="BK16" s="8"/>
      <c r="BL16" s="11"/>
      <c r="BM16" s="8"/>
      <c r="BN16" s="11"/>
    </row>
    <row r="17" spans="1:66" ht="14.35" customHeight="1" x14ac:dyDescent="0.45">
      <c r="A17" s="29"/>
      <c r="B17" s="8" t="s">
        <v>42</v>
      </c>
      <c r="C17" s="8">
        <v>50</v>
      </c>
      <c r="D17" s="11" t="s">
        <v>105</v>
      </c>
      <c r="E17" s="8">
        <v>50</v>
      </c>
      <c r="F17" s="11" t="s">
        <v>106</v>
      </c>
      <c r="G17" s="8">
        <v>50</v>
      </c>
      <c r="H17" s="11" t="s">
        <v>107</v>
      </c>
      <c r="I17" s="16">
        <v>65</v>
      </c>
      <c r="J17" s="11" t="s">
        <v>157</v>
      </c>
      <c r="K17" s="18">
        <v>85</v>
      </c>
      <c r="L17" s="11" t="s">
        <v>187</v>
      </c>
      <c r="M17" s="16">
        <v>65</v>
      </c>
      <c r="N17" s="11" t="s">
        <v>157</v>
      </c>
      <c r="O17" s="11"/>
      <c r="P17" s="11"/>
      <c r="Q17" s="11"/>
      <c r="R17" s="11"/>
      <c r="S17" s="23">
        <v>80</v>
      </c>
      <c r="T17" s="11" t="s">
        <v>299</v>
      </c>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8">
        <f t="shared" si="0"/>
        <v>63.571428571428569</v>
      </c>
      <c r="BH17" s="12" t="str" cm="1">
        <f t="array" ref="BH17">_xlfn.TEXTJOIN(" ", TRUE, _xlfn._xlws.FILTER(C17:BF17, MOD(COLUMN(C17:BF17)-COLUMN(BJ17),2)=0))</f>
        <v>SHOWING INTEREST NEED TO PRATICE ANSWERING WELL PERFORMING WELL NEED MOTIVATION NEED MORE PRACTICE CAN DO BETTER  PERFORMING WELL NEED MOTIVATION INTERESTED IN GAMING , TYPING IN COMPUTER  PERFORMING WELL NEED MOTIVATION BASIC SKILLS LIKE TYPING&amp;DRAWING</v>
      </c>
      <c r="BI17" s="8"/>
      <c r="BJ17" s="11"/>
      <c r="BK17" s="8"/>
      <c r="BL17" s="11"/>
      <c r="BM17" s="8"/>
      <c r="BN17" s="11"/>
    </row>
    <row r="18" spans="1:66" ht="14.35" customHeight="1" x14ac:dyDescent="0.45">
      <c r="A18" s="29"/>
      <c r="B18" s="8" t="s">
        <v>43</v>
      </c>
      <c r="C18" s="8" t="s">
        <v>72</v>
      </c>
      <c r="D18" s="11" t="s">
        <v>72</v>
      </c>
      <c r="E18" s="8">
        <v>50</v>
      </c>
      <c r="F18" s="11" t="s">
        <v>126</v>
      </c>
      <c r="G18" s="16">
        <v>65</v>
      </c>
      <c r="H18" s="11" t="s">
        <v>143</v>
      </c>
      <c r="I18" s="8">
        <v>75</v>
      </c>
      <c r="J18" s="11" t="s">
        <v>140</v>
      </c>
      <c r="K18" s="8">
        <v>75</v>
      </c>
      <c r="L18" s="11" t="s">
        <v>188</v>
      </c>
      <c r="M18" s="11">
        <v>50</v>
      </c>
      <c r="N18" s="11" t="s">
        <v>202</v>
      </c>
      <c r="O18" s="11">
        <v>75</v>
      </c>
      <c r="P18" s="11" t="s">
        <v>210</v>
      </c>
      <c r="Q18" s="11"/>
      <c r="R18" s="11"/>
      <c r="S18" s="21">
        <v>85</v>
      </c>
      <c r="T18" s="11" t="s">
        <v>131</v>
      </c>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8">
        <f t="shared" si="0"/>
        <v>67.857142857142861</v>
      </c>
      <c r="BH18" s="12" t="str" cm="1">
        <f t="array" ref="BH18">_xlfn.TEXTJOIN(" ", TRUE, _xlfn._xlws.FILTER(C18:BF18, MOD(COLUMN(C18:BF18)-COLUMN(BJ18),2)=0))</f>
        <v>AB NEED TO FOCUS ON VISUAL BUILDING GRADUAL TONAL TRASITION FORMS SIMPLIFYING THE CONTOUR WELL INTERESTED IN DRAWING TAKING FRIENDS HELP TO DRAW THE FIGURE PERFORMING WELL BUT NEED TO FOLLOW MEASUREMENTS  TRYING TO SIMPLIFY THE FIGURE</v>
      </c>
      <c r="BI18" s="8"/>
      <c r="BJ18" s="11"/>
      <c r="BK18" s="8"/>
      <c r="BL18" s="11"/>
      <c r="BM18" s="8"/>
      <c r="BN18" s="11"/>
    </row>
    <row r="19" spans="1:66" ht="14.35" customHeight="1" x14ac:dyDescent="0.45">
      <c r="A19" s="29"/>
      <c r="B19" s="8" t="s">
        <v>44</v>
      </c>
      <c r="C19" s="8"/>
      <c r="D19" s="11" t="s">
        <v>99</v>
      </c>
      <c r="E19" s="8">
        <v>25</v>
      </c>
      <c r="F19" s="11" t="s">
        <v>91</v>
      </c>
      <c r="G19" s="8">
        <v>50</v>
      </c>
      <c r="H19" s="11" t="s">
        <v>110</v>
      </c>
      <c r="I19" s="8">
        <v>25</v>
      </c>
      <c r="J19" s="11" t="s">
        <v>170</v>
      </c>
      <c r="K19" s="8"/>
      <c r="L19" s="11"/>
      <c r="M19" s="11"/>
      <c r="N19" s="11"/>
      <c r="O19" s="11"/>
      <c r="P19" s="11"/>
      <c r="Q19" s="11">
        <v>25</v>
      </c>
      <c r="R19" s="11" t="s">
        <v>77</v>
      </c>
      <c r="S19" s="21">
        <v>85</v>
      </c>
      <c r="T19" s="11" t="s">
        <v>293</v>
      </c>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8">
        <f t="shared" si="0"/>
        <v>42</v>
      </c>
      <c r="BH19" s="12" t="str" cm="1">
        <f t="array" ref="BH19">_xlfn.TEXTJOIN(" ", TRUE, _xlfn._xlws.FILTER(C19:BF19, MOD(COLUMN(C19:BF19)-COLUMN(BJ19),2)=0))</f>
        <v>CLASS CANCELLED JUST PARTICIPATING INTERESTED IN MORAL STORIES NEUTRAL PARTCIPATION NEUTRAL PARTICIPATION PREFER ALL KIND OF BOOKS TO READ</v>
      </c>
      <c r="BI19" s="8"/>
      <c r="BJ19" s="11"/>
      <c r="BK19" s="8"/>
      <c r="BL19" s="11"/>
      <c r="BM19" s="8"/>
      <c r="BN19" s="11"/>
    </row>
    <row r="20" spans="1:66" ht="14.35" customHeight="1" x14ac:dyDescent="0.45">
      <c r="A20" s="30"/>
      <c r="B20" s="8" t="s">
        <v>45</v>
      </c>
      <c r="C20" s="8"/>
      <c r="D20" s="11"/>
      <c r="E20" s="8"/>
      <c r="F20" s="11"/>
      <c r="G20" s="8"/>
      <c r="H20" s="11"/>
      <c r="I20" s="8"/>
      <c r="J20" s="11"/>
      <c r="K20" s="8"/>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8" t="str">
        <f t="shared" si="0"/>
        <v/>
      </c>
      <c r="BH20" s="12" t="str" cm="1">
        <f t="array" ref="BH20">_xlfn.TEXTJOIN(" ", TRUE, _xlfn._xlws.FILTER(C20:BF20, MOD(COLUMN(C20:BF20)-COLUMN(BJ20),2)=0))</f>
        <v/>
      </c>
      <c r="BI20" s="8"/>
      <c r="BJ20" s="11"/>
      <c r="BK20" s="8"/>
      <c r="BL20" s="11"/>
      <c r="BM20" s="8"/>
      <c r="BN20" s="11"/>
    </row>
    <row r="21" spans="1:66" ht="14.35" customHeight="1" x14ac:dyDescent="0.45">
      <c r="A21" s="28" t="s">
        <v>48</v>
      </c>
      <c r="B21" s="8" t="s">
        <v>40</v>
      </c>
      <c r="C21" s="8"/>
      <c r="D21" s="11"/>
      <c r="E21" s="8"/>
      <c r="F21" s="11"/>
      <c r="G21" s="8"/>
      <c r="H21" s="11"/>
      <c r="I21" s="8"/>
      <c r="J21" s="11"/>
      <c r="K21" s="17">
        <v>32</v>
      </c>
      <c r="L21" s="11" t="s">
        <v>176</v>
      </c>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8">
        <f t="shared" si="0"/>
        <v>32</v>
      </c>
      <c r="BH21" s="12" t="str" cm="1">
        <f t="array" ref="BH21">_xlfn.TEXTJOIN(" ", TRUE, _xlfn._xlws.FILTER(C21:BF21, MOD(COLUMN(C21:BF21)-COLUMN(BJ21),2)=0))</f>
        <v>GOOD IN URDU</v>
      </c>
      <c r="BI21" s="8"/>
      <c r="BJ21" s="11"/>
      <c r="BK21" s="8"/>
      <c r="BL21" s="11"/>
      <c r="BM21" s="8"/>
      <c r="BN21" s="11"/>
    </row>
    <row r="22" spans="1:66" ht="14.35" customHeight="1" x14ac:dyDescent="0.45">
      <c r="A22" s="29"/>
      <c r="B22" s="8" t="s">
        <v>41</v>
      </c>
      <c r="C22" s="8">
        <v>50</v>
      </c>
      <c r="D22" s="11" t="s">
        <v>101</v>
      </c>
      <c r="E22" s="16">
        <v>65</v>
      </c>
      <c r="F22" s="11" t="s">
        <v>102</v>
      </c>
      <c r="G22" s="8">
        <v>75</v>
      </c>
      <c r="H22" s="11" t="s">
        <v>103</v>
      </c>
      <c r="I22" s="18">
        <v>85</v>
      </c>
      <c r="J22" s="11" t="s">
        <v>103</v>
      </c>
      <c r="K22" s="18">
        <v>85</v>
      </c>
      <c r="L22" s="11" t="s">
        <v>190</v>
      </c>
      <c r="M22" s="18">
        <v>85</v>
      </c>
      <c r="N22" s="11" t="s">
        <v>103</v>
      </c>
      <c r="O22" s="11"/>
      <c r="P22" s="11"/>
      <c r="Q22" s="11"/>
      <c r="R22" s="11"/>
      <c r="S22" s="24">
        <v>90</v>
      </c>
      <c r="T22" s="11" t="s">
        <v>248</v>
      </c>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8">
        <f t="shared" si="0"/>
        <v>76.428571428571431</v>
      </c>
      <c r="BH22" s="12" t="str" cm="1">
        <f t="array" ref="BH22">_xlfn.TEXTJOIN(" ", TRUE, _xlfn._xlws.FILTER(C22:BF22, MOD(COLUMN(C22:BF22)-COLUMN(BJ22),2)=0))</f>
        <v>GOOD IN PLAYING FOOTBALL GOOD IN PLAYING SHUTTLE PLAYING WELL SHUTTLE PLAYING WELL SHUTTLE INTERESTED IN KHO-KHO PLAYING WELL SHUTTLE INTERESTED IN FOOTBALL,CRICKET, RUNNING GOT 3RD PRIZE.IN CRICKET BOTH BATTING &amp;BOWLING HE IS GOOD</v>
      </c>
      <c r="BI22" s="8"/>
      <c r="BJ22" s="11"/>
      <c r="BK22" s="8"/>
      <c r="BL22" s="11"/>
      <c r="BM22" s="8"/>
      <c r="BN22" s="11"/>
    </row>
    <row r="23" spans="1:66" ht="14.35" customHeight="1" x14ac:dyDescent="0.45">
      <c r="A23" s="29"/>
      <c r="B23" s="8" t="s">
        <v>42</v>
      </c>
      <c r="C23" s="8">
        <v>50</v>
      </c>
      <c r="D23" s="11" t="s">
        <v>105</v>
      </c>
      <c r="E23" s="8">
        <v>50</v>
      </c>
      <c r="F23" s="11" t="s">
        <v>106</v>
      </c>
      <c r="G23" s="8">
        <v>50</v>
      </c>
      <c r="H23" s="11" t="s">
        <v>107</v>
      </c>
      <c r="I23" s="16">
        <v>65</v>
      </c>
      <c r="J23" s="11" t="s">
        <v>157</v>
      </c>
      <c r="K23" s="18">
        <v>85</v>
      </c>
      <c r="L23" s="11" t="s">
        <v>187</v>
      </c>
      <c r="M23" s="16">
        <v>65</v>
      </c>
      <c r="N23" s="11" t="s">
        <v>157</v>
      </c>
      <c r="O23" s="11"/>
      <c r="P23" s="11"/>
      <c r="Q23" s="11"/>
      <c r="R23" s="11"/>
      <c r="S23" s="11">
        <v>75</v>
      </c>
      <c r="T23" s="11" t="s">
        <v>249</v>
      </c>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8">
        <f t="shared" si="0"/>
        <v>62.857142857142854</v>
      </c>
      <c r="BH23" s="12" t="str" cm="1">
        <f t="array" ref="BH23">_xlfn.TEXTJOIN(" ", TRUE, _xlfn._xlws.FILTER(C23:BF23, MOD(COLUMN(C23:BF23)-COLUMN(BJ23),2)=0))</f>
        <v xml:space="preserve">SHOWING INTEREST NEED TO PRATICE ANSWERING WELL PERFORMING WELL NEED MOTIVATION NEED MORE PRACTICE CAN DO BETTER  PERFORMING WELL NEED MOTIVATION INTERESTED IN GAMING , TYPING IN COMPUTER  PERFORMING WELL NEED MOTIVATION BASIC SKILLS LIKE TYPING </v>
      </c>
      <c r="BI23" s="8"/>
      <c r="BJ23" s="11"/>
      <c r="BK23" s="8"/>
      <c r="BL23" s="11"/>
      <c r="BM23" s="8"/>
      <c r="BN23" s="11"/>
    </row>
    <row r="24" spans="1:66" ht="14.35" customHeight="1" x14ac:dyDescent="0.45">
      <c r="A24" s="29"/>
      <c r="B24" s="8" t="s">
        <v>43</v>
      </c>
      <c r="C24" s="8" t="s">
        <v>72</v>
      </c>
      <c r="D24" s="11" t="s">
        <v>72</v>
      </c>
      <c r="E24" s="8">
        <v>25</v>
      </c>
      <c r="F24" s="11" t="s">
        <v>77</v>
      </c>
      <c r="G24" s="8">
        <v>50</v>
      </c>
      <c r="H24" s="11" t="s">
        <v>141</v>
      </c>
      <c r="I24" s="8">
        <v>75</v>
      </c>
      <c r="J24" s="11" t="s">
        <v>139</v>
      </c>
      <c r="K24" s="8">
        <v>75</v>
      </c>
      <c r="L24" s="11" t="s">
        <v>188</v>
      </c>
      <c r="M24" s="11"/>
      <c r="N24" s="11" t="s">
        <v>208</v>
      </c>
      <c r="O24" s="11">
        <v>70</v>
      </c>
      <c r="P24" s="11" t="s">
        <v>201</v>
      </c>
      <c r="Q24" s="11"/>
      <c r="R24" s="11"/>
      <c r="S24" s="11">
        <v>75</v>
      </c>
      <c r="T24" s="11" t="s">
        <v>250</v>
      </c>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8">
        <f t="shared" si="0"/>
        <v>61.666666666666664</v>
      </c>
      <c r="BH24" s="12" t="str" cm="1">
        <f t="array" ref="BH24">_xlfn.TEXTJOIN(" ", TRUE, _xlfn._xlws.FILTER(C24:BF24, MOD(COLUMN(C24:BF24)-COLUMN(BJ24),2)=0))</f>
        <v>AB NEUTRAL PARTICIPATION EVALUATING THE SHADINGNWELL UTILIZING THE LINES NEATLY INTERESTED IN DRAWING WENT TO PARTICEPATE IN ELOCUTION SIMPLIFYING THE FIGURE WELL SMOOTH FINISHING NEAT WORK</v>
      </c>
      <c r="BI24" s="8"/>
      <c r="BJ24" s="11"/>
      <c r="BK24" s="8"/>
      <c r="BL24" s="11"/>
      <c r="BM24" s="8"/>
      <c r="BN24" s="11"/>
    </row>
    <row r="25" spans="1:66" ht="14.35" customHeight="1" x14ac:dyDescent="0.45">
      <c r="A25" s="29"/>
      <c r="B25" s="8" t="s">
        <v>44</v>
      </c>
      <c r="C25" s="8"/>
      <c r="D25" s="11" t="s">
        <v>99</v>
      </c>
      <c r="E25" s="8">
        <v>50</v>
      </c>
      <c r="F25" s="11" t="s">
        <v>97</v>
      </c>
      <c r="G25" s="8">
        <v>50</v>
      </c>
      <c r="H25" s="11" t="s">
        <v>111</v>
      </c>
      <c r="I25" s="8">
        <v>50</v>
      </c>
      <c r="J25" s="11" t="s">
        <v>169</v>
      </c>
      <c r="K25" s="8">
        <v>75</v>
      </c>
      <c r="L25" s="11" t="s">
        <v>189</v>
      </c>
      <c r="M25" s="11"/>
      <c r="N25" s="11"/>
      <c r="O25" s="11"/>
      <c r="P25" s="11"/>
      <c r="Q25" s="11">
        <v>40</v>
      </c>
      <c r="R25" s="11" t="s">
        <v>231</v>
      </c>
      <c r="S25" s="11">
        <v>75</v>
      </c>
      <c r="T25" s="11" t="s">
        <v>251</v>
      </c>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8">
        <f t="shared" si="0"/>
        <v>56.666666666666664</v>
      </c>
      <c r="BH25" s="12" t="str" cm="1">
        <f t="array" ref="BH25">_xlfn.TEXTJOIN(" ", TRUE, _xlfn._xlws.FILTER(C25:BF25, MOD(COLUMN(C25:BF25)-COLUMN(BJ25),2)=0))</f>
        <v>CLASS CANCELLED AVERAGE PERFORMANCE NEED  TO CONCENTRATE  GOOD IN READING NNED TO PAY ATTENTION INTERESTED IN STORY BOOKS VERY CONFUSED , TRYING TO FIGURE OUT THE STORY INTERESTED IN MORAL STORIES RELATED TO WILD LIFE</v>
      </c>
      <c r="BI25" s="8"/>
      <c r="BJ25" s="11"/>
      <c r="BK25" s="8"/>
      <c r="BL25" s="11"/>
      <c r="BM25" s="8"/>
      <c r="BN25" s="11"/>
    </row>
    <row r="26" spans="1:66" ht="14.35" customHeight="1" x14ac:dyDescent="0.45">
      <c r="A26" s="30"/>
      <c r="B26" s="8" t="s">
        <v>45</v>
      </c>
      <c r="C26" s="8"/>
      <c r="D26" s="11"/>
      <c r="E26" s="8"/>
      <c r="F26" s="11"/>
      <c r="G26" s="8"/>
      <c r="H26" s="11"/>
      <c r="I26" s="8"/>
      <c r="J26" s="11"/>
      <c r="K26" s="8"/>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8" t="str">
        <f t="shared" si="0"/>
        <v/>
      </c>
      <c r="BH26" s="12" t="str" cm="1">
        <f t="array" ref="BH26">_xlfn.TEXTJOIN(" ", TRUE, _xlfn._xlws.FILTER(C26:BF26, MOD(COLUMN(C26:BF26)-COLUMN(BJ26),2)=0))</f>
        <v/>
      </c>
      <c r="BI26" s="8"/>
      <c r="BJ26" s="11"/>
      <c r="BK26" s="8"/>
      <c r="BL26" s="11"/>
      <c r="BM26" s="8"/>
      <c r="BN26" s="11"/>
    </row>
    <row r="27" spans="1:66" ht="14.35" customHeight="1" x14ac:dyDescent="0.45">
      <c r="A27" s="28" t="s">
        <v>49</v>
      </c>
      <c r="B27" s="8" t="s">
        <v>40</v>
      </c>
      <c r="C27" s="8"/>
      <c r="D27" s="11"/>
      <c r="E27" s="8"/>
      <c r="F27" s="11"/>
      <c r="G27" s="8"/>
      <c r="H27" s="11"/>
      <c r="I27" s="8"/>
      <c r="J27" s="11"/>
      <c r="K27" s="17">
        <v>40</v>
      </c>
      <c r="L27" s="11" t="s">
        <v>175</v>
      </c>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8">
        <f t="shared" si="0"/>
        <v>40</v>
      </c>
      <c r="BH27" s="12" t="str" cm="1">
        <f t="array" ref="BH27">_xlfn.TEXTJOIN(" ", TRUE, _xlfn._xlws.FILTER(C27:BF27, MOD(COLUMN(C27:BF27)-COLUMN(BJ27),2)=0))</f>
        <v>AVERAGE PERFORMANCE IN STUIDIES</v>
      </c>
      <c r="BI27" s="8"/>
      <c r="BJ27" s="11"/>
      <c r="BK27" s="8"/>
      <c r="BL27" s="11"/>
      <c r="BM27" s="8"/>
      <c r="BN27" s="11"/>
    </row>
    <row r="28" spans="1:66" ht="14.35" customHeight="1" x14ac:dyDescent="0.45">
      <c r="A28" s="29"/>
      <c r="B28" s="8" t="s">
        <v>41</v>
      </c>
      <c r="C28" s="8">
        <v>50</v>
      </c>
      <c r="D28" s="11" t="s">
        <v>101</v>
      </c>
      <c r="E28" s="16">
        <v>65</v>
      </c>
      <c r="F28" s="11" t="s">
        <v>102</v>
      </c>
      <c r="G28" s="8">
        <v>75</v>
      </c>
      <c r="H28" s="11" t="s">
        <v>103</v>
      </c>
      <c r="I28" s="18">
        <v>85</v>
      </c>
      <c r="J28" s="11" t="s">
        <v>103</v>
      </c>
      <c r="K28" s="18">
        <v>85</v>
      </c>
      <c r="L28" s="11" t="s">
        <v>186</v>
      </c>
      <c r="M28" s="18">
        <v>85</v>
      </c>
      <c r="N28" s="11" t="s">
        <v>103</v>
      </c>
      <c r="O28" s="11"/>
      <c r="P28" s="11"/>
      <c r="Q28" s="11"/>
      <c r="R28" s="11"/>
      <c r="S28" s="11">
        <v>75</v>
      </c>
      <c r="T28" s="11" t="s">
        <v>252</v>
      </c>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8">
        <f t="shared" si="0"/>
        <v>74.285714285714292</v>
      </c>
      <c r="BH28" s="12" t="str" cm="1">
        <f t="array" ref="BH28">_xlfn.TEXTJOIN(" ", TRUE, _xlfn._xlws.FILTER(C28:BF28, MOD(COLUMN(C28:BF28)-COLUMN(BJ28),2)=0))</f>
        <v>GOOD IN PLAYING FOOTBALL GOOD IN PLAYING SHUTTLE PLAYING WELL SHUTTLE PLAYING WELL SHUTTLE INTERESTED IN CEICKET PLAYING WELL SHUTTLE INTERESTED IN BADMINTON</v>
      </c>
      <c r="BI28" s="8"/>
      <c r="BJ28" s="11"/>
      <c r="BK28" s="8"/>
      <c r="BL28" s="11"/>
      <c r="BM28" s="8"/>
      <c r="BN28" s="11"/>
    </row>
    <row r="29" spans="1:66" ht="14.35" customHeight="1" x14ac:dyDescent="0.45">
      <c r="A29" s="29"/>
      <c r="B29" s="8" t="s">
        <v>42</v>
      </c>
      <c r="C29" s="8">
        <v>50</v>
      </c>
      <c r="D29" s="11" t="s">
        <v>105</v>
      </c>
      <c r="E29" s="8">
        <v>50</v>
      </c>
      <c r="F29" s="11" t="s">
        <v>106</v>
      </c>
      <c r="G29" s="8">
        <v>50</v>
      </c>
      <c r="H29" s="11" t="s">
        <v>107</v>
      </c>
      <c r="I29" s="16">
        <v>65</v>
      </c>
      <c r="J29" s="11" t="s">
        <v>157</v>
      </c>
      <c r="K29" s="8">
        <v>75</v>
      </c>
      <c r="L29" s="11" t="s">
        <v>187</v>
      </c>
      <c r="M29" s="16">
        <v>65</v>
      </c>
      <c r="N29" s="11" t="s">
        <v>157</v>
      </c>
      <c r="O29" s="11"/>
      <c r="P29" s="11"/>
      <c r="Q29" s="11"/>
      <c r="R29" s="11"/>
      <c r="S29" s="25">
        <v>65</v>
      </c>
      <c r="T29" s="11" t="s">
        <v>253</v>
      </c>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8">
        <f t="shared" si="0"/>
        <v>60</v>
      </c>
      <c r="BH29" s="12" t="str" cm="1">
        <f t="array" ref="BH29">_xlfn.TEXTJOIN(" ", TRUE, _xlfn._xlws.FILTER(C29:BF29, MOD(COLUMN(C29:BF29)-COLUMN(BJ29),2)=0))</f>
        <v>SHOWING INTEREST NEED TO PRATICE ANSWERING WELL PERFORMING WELL NEED MOTIVATION NEED MORE PRACTICE CAN DO BETTER  PERFORMING WELL NEED MOTIVATION INTERESTED IN GAMING , TYPING IN COMPUTER  PERFORMING WELL NEED MOTIVATION JUST PARTICIPATING IN TYPING</v>
      </c>
      <c r="BI29" s="8"/>
      <c r="BJ29" s="11"/>
      <c r="BK29" s="8"/>
      <c r="BL29" s="11"/>
      <c r="BM29" s="8"/>
      <c r="BN29" s="11"/>
    </row>
    <row r="30" spans="1:66" ht="14.35" customHeight="1" x14ac:dyDescent="0.45">
      <c r="A30" s="29"/>
      <c r="B30" s="8" t="s">
        <v>43</v>
      </c>
      <c r="C30" s="8">
        <v>50</v>
      </c>
      <c r="D30" s="11" t="s">
        <v>70</v>
      </c>
      <c r="E30" s="8">
        <v>50</v>
      </c>
      <c r="F30" s="11" t="s">
        <v>97</v>
      </c>
      <c r="G30" s="16">
        <v>65</v>
      </c>
      <c r="H30" s="11" t="s">
        <v>144</v>
      </c>
      <c r="I30" s="16">
        <v>65</v>
      </c>
      <c r="J30" s="11" t="s">
        <v>131</v>
      </c>
      <c r="K30" s="18">
        <v>85</v>
      </c>
      <c r="L30" s="11" t="s">
        <v>188</v>
      </c>
      <c r="M30" s="21">
        <v>80</v>
      </c>
      <c r="N30" s="11" t="s">
        <v>125</v>
      </c>
      <c r="O30" s="11">
        <v>80</v>
      </c>
      <c r="P30" s="11" t="s">
        <v>211</v>
      </c>
      <c r="Q30" s="11"/>
      <c r="R30" s="11"/>
      <c r="S30" s="22">
        <v>70</v>
      </c>
      <c r="T30" s="11" t="s">
        <v>254</v>
      </c>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8">
        <f t="shared" si="0"/>
        <v>68.125</v>
      </c>
      <c r="BH30" s="12" t="str" cm="1">
        <f t="array" ref="BH30">_xlfn.TEXTJOIN(" ", TRUE, _xlfn._xlws.FILTER(C30:BF30, MOD(COLUMN(C30:BF30)-COLUMN(BJ30),2)=0))</f>
        <v>AVERAGE PARTICIPATION IN THE CLASS AVERAGE PERFORMANCE DEVELOPING VOLUME AND DEPTH  OF THE FIGURE TRYING TO SIMPLIFY THE FIGURE INTERESTED IN DRAWING PROPORTION OF THE FIGURE IS ACCURATE AND NEAT SHOWING VERY MUCH INTEREST PERFORMING WELL PERFORMING WELL</v>
      </c>
      <c r="BI30" s="8"/>
      <c r="BJ30" s="11"/>
      <c r="BK30" s="8"/>
      <c r="BL30" s="11"/>
      <c r="BM30" s="8"/>
      <c r="BN30" s="11"/>
    </row>
    <row r="31" spans="1:66" ht="14.35" customHeight="1" x14ac:dyDescent="0.45">
      <c r="A31" s="29"/>
      <c r="B31" s="8" t="s">
        <v>44</v>
      </c>
      <c r="C31" s="8"/>
      <c r="D31" s="11" t="s">
        <v>99</v>
      </c>
      <c r="E31" s="8">
        <v>50</v>
      </c>
      <c r="F31" s="11" t="s">
        <v>97</v>
      </c>
      <c r="G31" s="8">
        <v>50</v>
      </c>
      <c r="H31" s="11" t="s">
        <v>112</v>
      </c>
      <c r="I31" s="8">
        <v>25</v>
      </c>
      <c r="J31" s="11" t="s">
        <v>170</v>
      </c>
      <c r="K31" s="8"/>
      <c r="L31" s="11"/>
      <c r="M31" s="11"/>
      <c r="N31" s="11"/>
      <c r="O31" s="11"/>
      <c r="P31" s="11"/>
      <c r="Q31" s="11">
        <v>25</v>
      </c>
      <c r="R31" s="11" t="s">
        <v>77</v>
      </c>
      <c r="S31" s="22">
        <v>70</v>
      </c>
      <c r="T31" s="11" t="s">
        <v>255</v>
      </c>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8">
        <f t="shared" si="0"/>
        <v>44</v>
      </c>
      <c r="BH31" s="12" t="str" cm="1">
        <f t="array" ref="BH31">_xlfn.TEXTJOIN(" ", TRUE, _xlfn._xlws.FILTER(C31:BF31, MOD(COLUMN(C31:BF31)-COLUMN(BJ31),2)=0))</f>
        <v>CLASS CANCELLED AVERAGE PERFORMANCE GOOD IN READING NEED TO FOCUS NEUTRAL PARTCIPATION NEUTRAL PARTICIPATION JUST RANDOM BOOKS READING NOT ANY SPECIFIC BOOK</v>
      </c>
      <c r="BI31" s="8"/>
      <c r="BJ31" s="11"/>
      <c r="BK31" s="8"/>
      <c r="BL31" s="11"/>
      <c r="BM31" s="8"/>
      <c r="BN31" s="11"/>
    </row>
    <row r="32" spans="1:66" ht="14.35" customHeight="1" x14ac:dyDescent="0.45">
      <c r="A32" s="30"/>
      <c r="B32" s="8" t="s">
        <v>45</v>
      </c>
      <c r="C32" s="8"/>
      <c r="D32" s="11"/>
      <c r="E32" s="8"/>
      <c r="F32" s="11"/>
      <c r="G32" s="8"/>
      <c r="H32" s="11"/>
      <c r="I32" s="8"/>
      <c r="J32" s="11"/>
      <c r="K32" s="8"/>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8" t="str">
        <f t="shared" si="0"/>
        <v/>
      </c>
      <c r="BH32" s="12" t="str" cm="1">
        <f t="array" ref="BH32">_xlfn.TEXTJOIN(" ", TRUE, _xlfn._xlws.FILTER(C32:BF32, MOD(COLUMN(C32:BF32)-COLUMN(BJ32),2)=0))</f>
        <v/>
      </c>
      <c r="BI32" s="8"/>
      <c r="BJ32" s="11"/>
      <c r="BK32" s="8"/>
      <c r="BL32" s="11"/>
      <c r="BM32" s="8"/>
      <c r="BN32" s="11"/>
    </row>
    <row r="33" spans="1:66" ht="14.35" customHeight="1" x14ac:dyDescent="0.45">
      <c r="A33" s="28" t="s">
        <v>50</v>
      </c>
      <c r="B33" s="8" t="s">
        <v>40</v>
      </c>
      <c r="C33" s="8"/>
      <c r="D33" s="11"/>
      <c r="E33" s="8"/>
      <c r="F33" s="11"/>
      <c r="G33" s="8"/>
      <c r="H33" s="11"/>
      <c r="I33" s="8"/>
      <c r="J33" s="11"/>
      <c r="K33" s="17">
        <v>65</v>
      </c>
      <c r="L33" s="11" t="s">
        <v>178</v>
      </c>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8">
        <f t="shared" si="0"/>
        <v>65</v>
      </c>
      <c r="BH33" s="12" t="str" cm="1">
        <f t="array" ref="BH33">_xlfn.TEXTJOIN(" ", TRUE, _xlfn._xlws.FILTER(C33:BF33, MOD(COLUMN(C33:BF33)-COLUMN(BJ33),2)=0))</f>
        <v>GOOD IN BIOLOGY</v>
      </c>
      <c r="BI33" s="8"/>
      <c r="BJ33" s="11"/>
      <c r="BK33" s="8"/>
      <c r="BL33" s="11"/>
      <c r="BM33" s="8"/>
      <c r="BN33" s="11"/>
    </row>
    <row r="34" spans="1:66" ht="14.35" customHeight="1" x14ac:dyDescent="0.45">
      <c r="A34" s="29"/>
      <c r="B34" s="8" t="s">
        <v>41</v>
      </c>
      <c r="C34" s="8">
        <v>50</v>
      </c>
      <c r="D34" s="11" t="s">
        <v>101</v>
      </c>
      <c r="E34" s="16">
        <v>65</v>
      </c>
      <c r="F34" s="11" t="s">
        <v>102</v>
      </c>
      <c r="G34" s="8">
        <v>75</v>
      </c>
      <c r="H34" s="11" t="s">
        <v>103</v>
      </c>
      <c r="I34" s="18">
        <v>85</v>
      </c>
      <c r="J34" s="11" t="s">
        <v>103</v>
      </c>
      <c r="K34" s="8">
        <v>75</v>
      </c>
      <c r="L34" s="11" t="s">
        <v>186</v>
      </c>
      <c r="M34" s="18">
        <v>85</v>
      </c>
      <c r="N34" s="11" t="s">
        <v>103</v>
      </c>
      <c r="O34" s="11"/>
      <c r="P34" s="11"/>
      <c r="Q34" s="11"/>
      <c r="R34" s="11"/>
      <c r="S34" s="21">
        <v>85</v>
      </c>
      <c r="T34" s="11" t="s">
        <v>300</v>
      </c>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8">
        <f t="shared" si="0"/>
        <v>74.285714285714292</v>
      </c>
      <c r="BH34" s="12" t="str" cm="1">
        <f t="array" ref="BH34">_xlfn.TEXTJOIN(" ", TRUE, _xlfn._xlws.FILTER(C34:BF34, MOD(COLUMN(C34:BF34)-COLUMN(BJ34),2)=0))</f>
        <v>GOOD IN PLAYING FOOTBALL GOOD IN PLAYING SHUTTLE PLAYING WELL SHUTTLE PLAYING WELL SHUTTLE INTERESTED IN CEICKET PLAYING WELL SHUTTLE INTERESTED IN FOOTBALL,BADMINTON</v>
      </c>
      <c r="BI34" s="8"/>
      <c r="BJ34" s="11"/>
      <c r="BK34" s="8"/>
      <c r="BL34" s="11"/>
      <c r="BM34" s="8"/>
      <c r="BN34" s="11"/>
    </row>
    <row r="35" spans="1:66" ht="14.35" customHeight="1" x14ac:dyDescent="0.45">
      <c r="A35" s="29"/>
      <c r="B35" s="8" t="s">
        <v>42</v>
      </c>
      <c r="C35" s="8">
        <v>50</v>
      </c>
      <c r="D35" s="11" t="s">
        <v>105</v>
      </c>
      <c r="E35" s="8">
        <v>50</v>
      </c>
      <c r="F35" s="11" t="s">
        <v>106</v>
      </c>
      <c r="G35" s="8">
        <v>50</v>
      </c>
      <c r="H35" s="11" t="s">
        <v>107</v>
      </c>
      <c r="I35" s="16">
        <v>65</v>
      </c>
      <c r="J35" s="11" t="s">
        <v>157</v>
      </c>
      <c r="K35" s="18">
        <v>85</v>
      </c>
      <c r="L35" s="11" t="s">
        <v>187</v>
      </c>
      <c r="M35" s="16">
        <v>65</v>
      </c>
      <c r="N35" s="11" t="s">
        <v>157</v>
      </c>
      <c r="O35" s="11"/>
      <c r="P35" s="11"/>
      <c r="Q35" s="11"/>
      <c r="R35" s="11"/>
      <c r="S35" s="23">
        <v>80</v>
      </c>
      <c r="T35" s="11" t="s">
        <v>299</v>
      </c>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8">
        <f t="shared" si="0"/>
        <v>63.571428571428569</v>
      </c>
      <c r="BH35" s="12" t="str" cm="1">
        <f t="array" ref="BH35">_xlfn.TEXTJOIN(" ", TRUE, _xlfn._xlws.FILTER(C35:BF35, MOD(COLUMN(C35:BF35)-COLUMN(BJ35),2)=0))</f>
        <v>SHOWING INTEREST NEED TO PRATICE ANSWERING WELL PERFORMING WELL NEED MOTIVATION NEED MORE PRACTICE CAN DO BETTER  PERFORMING WELL NEED MOTIVATION INTERESTED IN GAMING , TYPING IN COMPUTER  PERFORMING WELL NEED MOTIVATION BASIC SKILLS LIKE TYPING&amp;DRAWING</v>
      </c>
      <c r="BI35" s="8"/>
      <c r="BJ35" s="11"/>
      <c r="BK35" s="8"/>
      <c r="BL35" s="11"/>
      <c r="BM35" s="8"/>
      <c r="BN35" s="11"/>
    </row>
    <row r="36" spans="1:66" ht="14.35" customHeight="1" x14ac:dyDescent="0.45">
      <c r="A36" s="29"/>
      <c r="B36" s="8" t="s">
        <v>43</v>
      </c>
      <c r="C36" s="8">
        <v>50</v>
      </c>
      <c r="D36" s="11" t="s">
        <v>73</v>
      </c>
      <c r="E36" s="8">
        <v>50</v>
      </c>
      <c r="F36" s="11" t="s">
        <v>128</v>
      </c>
      <c r="G36" s="16">
        <v>65</v>
      </c>
      <c r="H36" s="11" t="s">
        <v>145</v>
      </c>
      <c r="I36" s="8">
        <v>75</v>
      </c>
      <c r="J36" s="11" t="s">
        <v>160</v>
      </c>
      <c r="K36" s="8">
        <v>75</v>
      </c>
      <c r="L36" s="11" t="s">
        <v>188</v>
      </c>
      <c r="M36" s="20">
        <v>70</v>
      </c>
      <c r="N36" s="11" t="s">
        <v>201</v>
      </c>
      <c r="O36" s="11">
        <v>70</v>
      </c>
      <c r="P36" s="11" t="s">
        <v>212</v>
      </c>
      <c r="Q36" s="11"/>
      <c r="R36" s="11"/>
      <c r="S36" s="21">
        <v>85</v>
      </c>
      <c r="T36" s="11" t="s">
        <v>294</v>
      </c>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8">
        <f t="shared" ref="BG36:BG67" si="1">IFERROR(AVERAGEIF(C36:BE36,"&lt;&gt;nill"), "")</f>
        <v>67.5</v>
      </c>
      <c r="BH36" s="12" t="str" cm="1">
        <f t="array" ref="BH36">_xlfn.TEXTJOIN(" ", TRUE, _xlfn._xlws.FILTER(C36:BF36, MOD(COLUMN(C36:BF36)-COLUMN(BJ36),2)=0))</f>
        <v>DOING GOOD NEED TO FOCUS  VISUAL COMPONENTS DEPICTING THE RANGE OF VALUES FROM LIGHT TO SHADOW NEED TO FOCUS ON VISUALS INTERESTED IN DRAWING SIMPLIFYING THE FIGURE WELL NEED TO FOLLOW VERTICAL MEASUREMENT PROPERLY SHOWING WILLINGNESS IN DRAWING</v>
      </c>
      <c r="BI36" s="8"/>
      <c r="BJ36" s="11"/>
      <c r="BK36" s="8"/>
      <c r="BL36" s="11"/>
      <c r="BM36" s="8"/>
      <c r="BN36" s="11"/>
    </row>
    <row r="37" spans="1:66" ht="14.35" customHeight="1" x14ac:dyDescent="0.45">
      <c r="A37" s="29"/>
      <c r="B37" s="8" t="s">
        <v>44</v>
      </c>
      <c r="C37" s="8"/>
      <c r="D37" s="11" t="s">
        <v>99</v>
      </c>
      <c r="E37" s="8">
        <v>25</v>
      </c>
      <c r="F37" s="11" t="s">
        <v>91</v>
      </c>
      <c r="G37" s="8">
        <v>50</v>
      </c>
      <c r="H37" s="11" t="s">
        <v>110</v>
      </c>
      <c r="I37" s="8">
        <v>50</v>
      </c>
      <c r="J37" s="11" t="s">
        <v>169</v>
      </c>
      <c r="K37" s="8"/>
      <c r="L37" s="11"/>
      <c r="M37" s="11"/>
      <c r="N37" s="11"/>
      <c r="O37" s="11"/>
      <c r="P37" s="11"/>
      <c r="Q37" s="11">
        <v>35</v>
      </c>
      <c r="R37" s="11" t="s">
        <v>232</v>
      </c>
      <c r="S37" s="21">
        <v>85</v>
      </c>
      <c r="T37" s="11" t="s">
        <v>301</v>
      </c>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8">
        <f t="shared" si="1"/>
        <v>49</v>
      </c>
      <c r="BH37" s="12" t="str" cm="1">
        <f t="array" ref="BH37">_xlfn.TEXTJOIN(" ", TRUE, _xlfn._xlws.FILTER(C37:BF37, MOD(COLUMN(C37:BF37)-COLUMN(BJ37),2)=0))</f>
        <v>CLASS CANCELLED JUST PARTICIPATING INTERESTED IN MORAL STORIES GOOD IN READING NNED TO PAY ATTENTION NEED TO BE FOCUSED ,IMPROVE IN FORMATION OF LINES. PREFER COMIC STORIES TO READ</v>
      </c>
      <c r="BI37" s="8"/>
      <c r="BJ37" s="11"/>
      <c r="BK37" s="8"/>
      <c r="BL37" s="11"/>
      <c r="BM37" s="8"/>
      <c r="BN37" s="11"/>
    </row>
    <row r="38" spans="1:66" ht="14.35" customHeight="1" x14ac:dyDescent="0.45">
      <c r="A38" s="30"/>
      <c r="B38" s="8" t="s">
        <v>45</v>
      </c>
      <c r="C38" s="8"/>
      <c r="D38" s="11"/>
      <c r="E38" s="8"/>
      <c r="F38" s="11"/>
      <c r="G38" s="8"/>
      <c r="H38" s="11"/>
      <c r="I38" s="8"/>
      <c r="J38" s="11"/>
      <c r="K38" s="8"/>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8" t="str">
        <f t="shared" si="1"/>
        <v/>
      </c>
      <c r="BH38" s="12" t="str" cm="1">
        <f t="array" ref="BH38">_xlfn.TEXTJOIN(" ", TRUE, _xlfn._xlws.FILTER(C38:BF38, MOD(COLUMN(C38:BF38)-COLUMN(BJ38),2)=0))</f>
        <v/>
      </c>
      <c r="BI38" s="8"/>
      <c r="BJ38" s="11"/>
      <c r="BK38" s="8"/>
      <c r="BL38" s="11"/>
      <c r="BM38" s="8"/>
      <c r="BN38" s="11"/>
    </row>
    <row r="39" spans="1:66" ht="14.35" customHeight="1" x14ac:dyDescent="0.45">
      <c r="A39" s="28" t="s">
        <v>256</v>
      </c>
      <c r="B39" s="8" t="s">
        <v>40</v>
      </c>
      <c r="C39" s="8"/>
      <c r="D39" s="11"/>
      <c r="E39" s="8"/>
      <c r="F39" s="11"/>
      <c r="G39" s="8"/>
      <c r="H39" s="11"/>
      <c r="I39" s="8"/>
      <c r="J39" s="11"/>
      <c r="K39" s="17">
        <v>45</v>
      </c>
      <c r="L39" s="11" t="s">
        <v>183</v>
      </c>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8">
        <f t="shared" si="1"/>
        <v>45</v>
      </c>
      <c r="BH39" s="12" t="str" cm="1">
        <f t="array" ref="BH39">_xlfn.TEXTJOIN(" ", TRUE, _xlfn._xlws.FILTER(C39:BF39, MOD(COLUMN(C39:BF39)-COLUMN(BJ39),2)=0))</f>
        <v>GOOD IN URDU BUT NEED TO FOCUS ON ALL SUBJECTS</v>
      </c>
      <c r="BI39" s="11"/>
      <c r="BJ39" s="11"/>
      <c r="BK39" s="8"/>
      <c r="BL39" s="11"/>
      <c r="BM39" s="11"/>
      <c r="BN39" s="11"/>
    </row>
    <row r="40" spans="1:66" ht="14.35" customHeight="1" x14ac:dyDescent="0.45">
      <c r="A40" s="29"/>
      <c r="B40" s="8" t="s">
        <v>41</v>
      </c>
      <c r="C40" s="8">
        <v>50</v>
      </c>
      <c r="D40" s="11" t="s">
        <v>101</v>
      </c>
      <c r="E40" s="16">
        <v>65</v>
      </c>
      <c r="F40" s="11" t="s">
        <v>102</v>
      </c>
      <c r="G40" s="8">
        <v>75</v>
      </c>
      <c r="H40" s="11" t="s">
        <v>103</v>
      </c>
      <c r="I40" s="18">
        <v>85</v>
      </c>
      <c r="J40" s="11" t="s">
        <v>103</v>
      </c>
      <c r="K40" s="18">
        <v>85</v>
      </c>
      <c r="L40" s="11" t="s">
        <v>186</v>
      </c>
      <c r="M40" s="18">
        <v>85</v>
      </c>
      <c r="N40" s="11" t="s">
        <v>103</v>
      </c>
      <c r="O40" s="11"/>
      <c r="P40" s="11"/>
      <c r="Q40" s="11"/>
      <c r="R40" s="11"/>
      <c r="S40" s="23">
        <v>80</v>
      </c>
      <c r="T40" s="11" t="s">
        <v>257</v>
      </c>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8">
        <f t="shared" si="1"/>
        <v>75</v>
      </c>
      <c r="BH40" s="12" t="str" cm="1">
        <f t="array" ref="BH40">_xlfn.TEXTJOIN(" ", TRUE, _xlfn._xlws.FILTER(C40:BF40, MOD(COLUMN(C40:BF40)-COLUMN(BJ40),2)=0))</f>
        <v>GOOD IN PLAYING FOOTBALL GOOD IN PLAYING SHUTTLE PLAYING WELL SHUTTLE PLAYING WELL SHUTTLE INTERESTED IN CEICKET PLAYING WELL SHUTTLE INTERESTED IN CRICKET&amp;FOOTBALL</v>
      </c>
      <c r="BI40" s="11"/>
      <c r="BJ40" s="11"/>
      <c r="BK40" s="8"/>
      <c r="BL40" s="11"/>
      <c r="BM40" s="11"/>
      <c r="BN40" s="11"/>
    </row>
    <row r="41" spans="1:66" ht="14.35" customHeight="1" x14ac:dyDescent="0.45">
      <c r="A41" s="29"/>
      <c r="B41" s="8" t="s">
        <v>42</v>
      </c>
      <c r="C41" s="8">
        <v>50</v>
      </c>
      <c r="D41" s="11" t="s">
        <v>105</v>
      </c>
      <c r="E41" s="8">
        <v>50</v>
      </c>
      <c r="F41" s="11" t="s">
        <v>106</v>
      </c>
      <c r="G41" s="8">
        <v>50</v>
      </c>
      <c r="H41" s="11" t="s">
        <v>107</v>
      </c>
      <c r="I41" s="16">
        <v>65</v>
      </c>
      <c r="J41" s="11" t="s">
        <v>157</v>
      </c>
      <c r="K41" s="8">
        <v>75</v>
      </c>
      <c r="L41" s="11" t="s">
        <v>187</v>
      </c>
      <c r="M41" s="16">
        <v>65</v>
      </c>
      <c r="N41" s="11" t="s">
        <v>157</v>
      </c>
      <c r="O41" s="11"/>
      <c r="P41" s="11"/>
      <c r="Q41" s="11"/>
      <c r="R41" s="11"/>
      <c r="S41" s="11">
        <v>75</v>
      </c>
      <c r="T41" s="11" t="s">
        <v>258</v>
      </c>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8">
        <f t="shared" si="1"/>
        <v>61.428571428571431</v>
      </c>
      <c r="BH41" s="12" t="str" cm="1">
        <f t="array" ref="BH41">_xlfn.TEXTJOIN(" ", TRUE, _xlfn._xlws.FILTER(C41:BF41, MOD(COLUMN(C41:BF41)-COLUMN(BJ41),2)=0))</f>
        <v>SHOWING INTEREST NEED TO PRATICE ANSWERING WELL PERFORMING WELL NEED MOTIVATION NEED MORE PRACTICE CAN DO BETTER  PERFORMING WELL NEED MOTIVATION INTERESTED IN GAMING , TYPING IN COMPUTER  PERFORMING WELL NEED MOTIVATION BASIC SKILLS LIKE TYPING</v>
      </c>
      <c r="BI41" s="11"/>
      <c r="BJ41" s="11"/>
      <c r="BK41" s="8"/>
      <c r="BL41" s="11"/>
      <c r="BM41" s="11"/>
      <c r="BN41" s="11"/>
    </row>
    <row r="42" spans="1:66" ht="14.35" customHeight="1" x14ac:dyDescent="0.45">
      <c r="A42" s="29"/>
      <c r="B42" s="8" t="s">
        <v>43</v>
      </c>
      <c r="C42" s="8">
        <v>50</v>
      </c>
      <c r="D42" s="11" t="s">
        <v>70</v>
      </c>
      <c r="E42" s="8">
        <v>50</v>
      </c>
      <c r="F42" s="11" t="s">
        <v>129</v>
      </c>
      <c r="G42" s="16">
        <v>65</v>
      </c>
      <c r="H42" s="11" t="s">
        <v>146</v>
      </c>
      <c r="I42" s="18">
        <v>85</v>
      </c>
      <c r="J42" s="11" t="s">
        <v>161</v>
      </c>
      <c r="K42" s="18">
        <v>85</v>
      </c>
      <c r="L42" s="11" t="s">
        <v>188</v>
      </c>
      <c r="M42" s="11" t="s">
        <v>72</v>
      </c>
      <c r="N42" s="11" t="s">
        <v>72</v>
      </c>
      <c r="O42" s="11" t="s">
        <v>72</v>
      </c>
      <c r="P42" s="11" t="s">
        <v>72</v>
      </c>
      <c r="Q42" s="11"/>
      <c r="R42" s="11"/>
      <c r="S42" s="22">
        <v>70</v>
      </c>
      <c r="T42" s="11" t="s">
        <v>254</v>
      </c>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8">
        <f t="shared" si="1"/>
        <v>67.5</v>
      </c>
      <c r="BH42" s="12" t="str" cm="1">
        <f t="array" ref="BH42">_xlfn.TEXTJOIN(" ", TRUE, _xlfn._xlws.FILTER(C42:BF42, MOD(COLUMN(C42:BF42)-COLUMN(BJ42),2)=0))</f>
        <v>AVERAGE PARTICIPATION IN THE CLASS TAKING TEACHERS HELP NEED MORE PRACTICE USING SMALL CIRCULAR STROKES  PROPORTION OF THE FIGURE IS ACCURATE  INTERESTED IN DRAWING AB AB PERFORMING WELL</v>
      </c>
      <c r="BI42" s="11"/>
      <c r="BJ42" s="11"/>
      <c r="BK42" s="8"/>
      <c r="BL42" s="11"/>
      <c r="BM42" s="11"/>
      <c r="BN42" s="11"/>
    </row>
    <row r="43" spans="1:66" ht="14.35" customHeight="1" x14ac:dyDescent="0.45">
      <c r="A43" s="29"/>
      <c r="B43" s="8" t="s">
        <v>44</v>
      </c>
      <c r="C43" s="8"/>
      <c r="D43" s="11" t="s">
        <v>99</v>
      </c>
      <c r="E43" s="8">
        <v>50</v>
      </c>
      <c r="F43" s="11" t="s">
        <v>97</v>
      </c>
      <c r="G43" s="8">
        <v>50</v>
      </c>
      <c r="H43" s="11" t="s">
        <v>113</v>
      </c>
      <c r="I43" s="8">
        <v>50</v>
      </c>
      <c r="J43" s="11" t="s">
        <v>108</v>
      </c>
      <c r="K43" s="8">
        <v>75</v>
      </c>
      <c r="L43" s="11" t="s">
        <v>113</v>
      </c>
      <c r="M43" s="11"/>
      <c r="N43" s="11"/>
      <c r="O43" s="11"/>
      <c r="P43" s="11"/>
      <c r="Q43" s="11"/>
      <c r="R43" s="11"/>
      <c r="S43" s="24">
        <v>90</v>
      </c>
      <c r="T43" s="11" t="s">
        <v>259</v>
      </c>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8">
        <f t="shared" si="1"/>
        <v>63</v>
      </c>
      <c r="BH43" s="12" t="str" cm="1">
        <f t="array" ref="BH43">_xlfn.TEXTJOIN(" ", TRUE, _xlfn._xlws.FILTER(C43:BF43, MOD(COLUMN(C43:BF43)-COLUMN(BJ43),2)=0))</f>
        <v>CLASS CANCELLED AVERAGE PERFORMANCE INTERESTED IN HISTORIC STORIES GOOD IN READING INTERESTED IN HISTORIC STORIES INTERESTED IN NEWSPAPER READING FOLLOWING NATIONAL NEWS HAVING KNOWLEDGE ABOUT NEW SCHEMES LAUNCHED BY GOVERNMENT</v>
      </c>
      <c r="BI43" s="11"/>
      <c r="BJ43" s="11"/>
      <c r="BK43" s="8"/>
      <c r="BL43" s="11"/>
      <c r="BM43" s="11"/>
      <c r="BN43" s="11"/>
    </row>
    <row r="44" spans="1:66" ht="14.35" customHeight="1" x14ac:dyDescent="0.45">
      <c r="A44" s="30"/>
      <c r="B44" s="8" t="s">
        <v>45</v>
      </c>
      <c r="C44" s="8"/>
      <c r="D44" s="11"/>
      <c r="E44" s="8"/>
      <c r="F44" s="11"/>
      <c r="G44" s="8"/>
      <c r="H44" s="11"/>
      <c r="I44" s="8"/>
      <c r="J44" s="11"/>
      <c r="K44" s="8"/>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8" t="str">
        <f t="shared" si="1"/>
        <v/>
      </c>
      <c r="BH44" s="12" t="str" cm="1">
        <f t="array" ref="BH44">_xlfn.TEXTJOIN(" ", TRUE, _xlfn._xlws.FILTER(C44:BF44, MOD(COLUMN(C44:BF44)-COLUMN(BJ44),2)=0))</f>
        <v/>
      </c>
      <c r="BI44" s="11"/>
      <c r="BJ44" s="11"/>
      <c r="BK44" s="8"/>
      <c r="BL44" s="11"/>
      <c r="BM44" s="11"/>
      <c r="BN44" s="11"/>
    </row>
    <row r="45" spans="1:66" ht="14.35" customHeight="1" x14ac:dyDescent="0.45">
      <c r="A45" s="28" t="s">
        <v>156</v>
      </c>
      <c r="B45" s="8" t="s">
        <v>40</v>
      </c>
      <c r="C45" s="8"/>
      <c r="D45" s="11"/>
      <c r="E45" s="8"/>
      <c r="F45" s="11"/>
      <c r="G45" s="8"/>
      <c r="H45" s="11"/>
      <c r="I45" s="8"/>
      <c r="J45" s="11"/>
      <c r="K45" s="17">
        <v>91</v>
      </c>
      <c r="L45" s="11" t="s">
        <v>185</v>
      </c>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8">
        <f t="shared" si="1"/>
        <v>91</v>
      </c>
      <c r="BH45" s="12" t="str" cm="1">
        <f t="array" ref="BH45">_xlfn.TEXTJOIN(" ", TRUE, _xlfn._xlws.FILTER(C45:BF45, MOD(COLUMN(C45:BF45)-COLUMN(BJ45),2)=0))</f>
        <v>GOOD IN PHYSIC,SOCIAL&amp;BIOLOGY</v>
      </c>
      <c r="BI45" s="11"/>
      <c r="BJ45" s="11"/>
      <c r="BK45" s="8"/>
      <c r="BL45" s="11"/>
      <c r="BM45" s="11"/>
      <c r="BN45" s="11"/>
    </row>
    <row r="46" spans="1:66" ht="14.35" customHeight="1" x14ac:dyDescent="0.45">
      <c r="A46" s="29"/>
      <c r="B46" s="8" t="s">
        <v>41</v>
      </c>
      <c r="C46" s="8">
        <v>50</v>
      </c>
      <c r="D46" s="11" t="s">
        <v>101</v>
      </c>
      <c r="E46" s="16">
        <v>65</v>
      </c>
      <c r="F46" s="11" t="s">
        <v>102</v>
      </c>
      <c r="G46" s="8">
        <v>75</v>
      </c>
      <c r="H46" s="11" t="s">
        <v>103</v>
      </c>
      <c r="I46" s="18">
        <v>85</v>
      </c>
      <c r="J46" s="11" t="s">
        <v>103</v>
      </c>
      <c r="K46" s="18">
        <v>85</v>
      </c>
      <c r="L46" s="11" t="s">
        <v>190</v>
      </c>
      <c r="M46" s="18">
        <v>85</v>
      </c>
      <c r="N46" s="11" t="s">
        <v>103</v>
      </c>
      <c r="O46" s="11"/>
      <c r="P46" s="11"/>
      <c r="Q46" s="11"/>
      <c r="R46" s="11"/>
      <c r="S46" s="23">
        <v>80</v>
      </c>
      <c r="T46" s="11" t="s">
        <v>260</v>
      </c>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8">
        <f t="shared" si="1"/>
        <v>75</v>
      </c>
      <c r="BH46" s="12" t="str" cm="1">
        <f t="array" ref="BH46">_xlfn.TEXTJOIN(" ", TRUE, _xlfn._xlws.FILTER(C46:BF46, MOD(COLUMN(C46:BF46)-COLUMN(BJ46),2)=0))</f>
        <v>GOOD IN PLAYING FOOTBALL GOOD IN PLAYING SHUTTLE PLAYING WELL SHUTTLE PLAYING WELL SHUTTLE INTERESTED IN KHO-KHO PLAYING WELL SHUTTLE INTERESTED IN CRICKET,BADMINTON FOOTBALL</v>
      </c>
      <c r="BI46" s="11"/>
      <c r="BJ46" s="11"/>
      <c r="BK46" s="8"/>
      <c r="BL46" s="11"/>
      <c r="BM46" s="11"/>
      <c r="BN46" s="11"/>
    </row>
    <row r="47" spans="1:66" ht="14.35" customHeight="1" x14ac:dyDescent="0.45">
      <c r="A47" s="29"/>
      <c r="B47" s="8" t="s">
        <v>42</v>
      </c>
      <c r="C47" s="8">
        <v>50</v>
      </c>
      <c r="D47" s="11" t="s">
        <v>105</v>
      </c>
      <c r="E47" s="8">
        <v>50</v>
      </c>
      <c r="F47" s="11" t="s">
        <v>106</v>
      </c>
      <c r="G47" s="8">
        <v>50</v>
      </c>
      <c r="H47" s="11" t="s">
        <v>107</v>
      </c>
      <c r="I47" s="16">
        <v>65</v>
      </c>
      <c r="J47" s="11" t="s">
        <v>157</v>
      </c>
      <c r="K47" s="8">
        <v>75</v>
      </c>
      <c r="L47" s="11" t="s">
        <v>187</v>
      </c>
      <c r="M47" s="16">
        <v>65</v>
      </c>
      <c r="N47" s="11" t="s">
        <v>157</v>
      </c>
      <c r="O47" s="11"/>
      <c r="P47" s="11"/>
      <c r="Q47" s="11"/>
      <c r="R47" s="11"/>
      <c r="S47" s="11">
        <v>75</v>
      </c>
      <c r="T47" s="11" t="s">
        <v>258</v>
      </c>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8">
        <f t="shared" si="1"/>
        <v>61.428571428571431</v>
      </c>
      <c r="BH47" s="12" t="str" cm="1">
        <f t="array" ref="BH47">_xlfn.TEXTJOIN(" ", TRUE, _xlfn._xlws.FILTER(C47:BF47, MOD(COLUMN(C47:BF47)-COLUMN(BJ47),2)=0))</f>
        <v>SHOWING INTEREST NEED TO PRATICE ANSWERING WELL PERFORMING WELL NEED MOTIVATION NEED MORE PRACTICE CAN DO BETTER  PERFORMING WELL NEED MOTIVATION INTERESTED IN GAMING , TYPING IN COMPUTER  PERFORMING WELL NEED MOTIVATION BASIC SKILLS LIKE TYPING</v>
      </c>
      <c r="BI47" s="11"/>
      <c r="BJ47" s="11"/>
      <c r="BK47" s="8"/>
      <c r="BL47" s="11"/>
      <c r="BM47" s="11"/>
      <c r="BN47" s="11"/>
    </row>
    <row r="48" spans="1:66" ht="14.35" customHeight="1" x14ac:dyDescent="0.45">
      <c r="A48" s="29"/>
      <c r="B48" s="8" t="s">
        <v>43</v>
      </c>
      <c r="C48" s="8">
        <v>50</v>
      </c>
      <c r="D48" s="11" t="s">
        <v>70</v>
      </c>
      <c r="E48" s="8">
        <v>50</v>
      </c>
      <c r="F48" s="11" t="s">
        <v>130</v>
      </c>
      <c r="G48" s="8">
        <v>75</v>
      </c>
      <c r="H48" s="11" t="s">
        <v>147</v>
      </c>
      <c r="I48" s="8">
        <v>75</v>
      </c>
      <c r="J48" s="11" t="s">
        <v>133</v>
      </c>
      <c r="K48" s="18">
        <v>85</v>
      </c>
      <c r="L48" s="11" t="s">
        <v>188</v>
      </c>
      <c r="M48" s="11"/>
      <c r="N48" s="11" t="s">
        <v>208</v>
      </c>
      <c r="O48" s="11">
        <v>70</v>
      </c>
      <c r="P48" s="11" t="s">
        <v>213</v>
      </c>
      <c r="Q48" s="11"/>
      <c r="R48" s="11"/>
      <c r="S48" s="22">
        <v>70</v>
      </c>
      <c r="T48" s="11" t="s">
        <v>254</v>
      </c>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8">
        <f t="shared" si="1"/>
        <v>67.857142857142861</v>
      </c>
      <c r="BH48" s="12" t="str" cm="1">
        <f t="array" ref="BH48">_xlfn.TEXTJOIN(" ", TRUE, _xlfn._xlws.FILTER(C48:BF48, MOD(COLUMN(C48:BF48)-COLUMN(BJ48),2)=0))</f>
        <v>AVERAGE PARTICIPATION IN THE CLASS NEED TO REFINE THE FIGURE LAYERING HATCH MARKS AT DIFFERENT ANGLES TO CREATE COMPLEX TONE GOOD IN VISUAL COMPONENTS INTERESTED IN DRAWING WENT TO PARTICEPATE IN ELOCUTION FOLLOWING CORRECT MEASUREMENTS BUT NEED TO IMPROVE PERFORMING WELL</v>
      </c>
      <c r="BI48" s="11"/>
      <c r="BJ48" s="11"/>
      <c r="BK48" s="8"/>
      <c r="BL48" s="11"/>
      <c r="BM48" s="11"/>
      <c r="BN48" s="11"/>
    </row>
    <row r="49" spans="1:66" ht="14.35" customHeight="1" x14ac:dyDescent="0.45">
      <c r="A49" s="29"/>
      <c r="B49" s="8" t="s">
        <v>44</v>
      </c>
      <c r="C49" s="8"/>
      <c r="D49" s="11" t="s">
        <v>99</v>
      </c>
      <c r="E49" s="8">
        <v>50</v>
      </c>
      <c r="F49" s="11" t="s">
        <v>97</v>
      </c>
      <c r="G49" s="8">
        <v>50</v>
      </c>
      <c r="H49" s="11" t="s">
        <v>114</v>
      </c>
      <c r="I49" s="8">
        <v>50</v>
      </c>
      <c r="J49" s="11" t="s">
        <v>169</v>
      </c>
      <c r="K49" s="8">
        <v>75</v>
      </c>
      <c r="L49" s="11" t="s">
        <v>114</v>
      </c>
      <c r="M49" s="11"/>
      <c r="N49" s="11"/>
      <c r="O49" s="11"/>
      <c r="P49" s="11"/>
      <c r="Q49" s="11">
        <v>45</v>
      </c>
      <c r="R49" s="11" t="s">
        <v>233</v>
      </c>
      <c r="S49" s="23">
        <v>80</v>
      </c>
      <c r="T49" s="11" t="s">
        <v>261</v>
      </c>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8">
        <f t="shared" si="1"/>
        <v>58.333333333333336</v>
      </c>
      <c r="BH49" s="12" t="str" cm="1">
        <f t="array" ref="BH49">_xlfn.TEXTJOIN(" ", TRUE, _xlfn._xlws.FILTER(C49:BF49, MOD(COLUMN(C49:BF49)-COLUMN(BJ49),2)=0))</f>
        <v>CLASS CANCELLED AVERAGE PERFORMANCE INTETRESTED IN ADVENTURE STORIES GOOD IN READING NNED TO PAY ATTENTION INTETRESTED IN ADVENTURE STORIES NEED TO BE FOCUSED ,TRYING TO BE FIGURING IN LINES,BUT NEED TO IMPROVE IN VOCAULARY INTETRESTED IN MORAL STORIES &amp;COMIC STORIES</v>
      </c>
      <c r="BI49" s="11"/>
      <c r="BJ49" s="11"/>
      <c r="BK49" s="8"/>
      <c r="BL49" s="11"/>
      <c r="BM49" s="11"/>
      <c r="BN49" s="11"/>
    </row>
    <row r="50" spans="1:66" ht="14.35" customHeight="1" x14ac:dyDescent="0.45">
      <c r="A50" s="30"/>
      <c r="B50" s="8" t="s">
        <v>45</v>
      </c>
      <c r="C50" s="8"/>
      <c r="D50" s="11"/>
      <c r="E50" s="8"/>
      <c r="F50" s="11"/>
      <c r="G50" s="8"/>
      <c r="H50" s="11"/>
      <c r="I50" s="8"/>
      <c r="J50" s="11"/>
      <c r="K50" s="8"/>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8" t="str">
        <f t="shared" si="1"/>
        <v/>
      </c>
      <c r="BH50" s="12" t="str" cm="1">
        <f t="array" ref="BH50">_xlfn.TEXTJOIN(" ", TRUE, _xlfn._xlws.FILTER(C50:BF50, MOD(COLUMN(C50:BF50)-COLUMN(BJ50),2)=0))</f>
        <v/>
      </c>
      <c r="BI50" s="11"/>
      <c r="BJ50" s="11"/>
      <c r="BK50" s="8"/>
      <c r="BL50" s="11"/>
      <c r="BM50" s="11"/>
      <c r="BN50" s="11"/>
    </row>
    <row r="51" spans="1:66" ht="14.35" customHeight="1" x14ac:dyDescent="0.45">
      <c r="A51" s="28" t="s">
        <v>94</v>
      </c>
      <c r="B51" s="8" t="s">
        <v>40</v>
      </c>
      <c r="C51" s="8"/>
      <c r="D51" s="11"/>
      <c r="E51" s="8"/>
      <c r="F51" s="11"/>
      <c r="G51" s="8"/>
      <c r="H51" s="11"/>
      <c r="I51" s="8"/>
      <c r="J51" s="11"/>
      <c r="K51" s="17">
        <v>46</v>
      </c>
      <c r="L51" s="11" t="s">
        <v>183</v>
      </c>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8">
        <f t="shared" si="1"/>
        <v>46</v>
      </c>
      <c r="BH51" s="12" t="str" cm="1">
        <f t="array" ref="BH51">_xlfn.TEXTJOIN(" ", TRUE, _xlfn._xlws.FILTER(C51:BF51, MOD(COLUMN(C51:BF51)-COLUMN(BJ51),2)=0))</f>
        <v>GOOD IN URDU BUT NEED TO FOCUS ON ALL SUBJECTS</v>
      </c>
      <c r="BI51" s="11"/>
      <c r="BJ51" s="11"/>
      <c r="BK51" s="8"/>
      <c r="BL51" s="11"/>
      <c r="BM51" s="11"/>
      <c r="BN51" s="11"/>
    </row>
    <row r="52" spans="1:66" ht="14.35" customHeight="1" x14ac:dyDescent="0.45">
      <c r="A52" s="29"/>
      <c r="B52" s="8" t="s">
        <v>41</v>
      </c>
      <c r="C52" s="8">
        <v>50</v>
      </c>
      <c r="D52" s="11" t="s">
        <v>101</v>
      </c>
      <c r="E52" s="16">
        <v>65</v>
      </c>
      <c r="F52" s="11" t="s">
        <v>102</v>
      </c>
      <c r="G52" s="8">
        <v>75</v>
      </c>
      <c r="H52" s="11" t="s">
        <v>103</v>
      </c>
      <c r="I52" s="18">
        <v>85</v>
      </c>
      <c r="J52" s="11" t="s">
        <v>103</v>
      </c>
      <c r="K52" s="18">
        <v>85</v>
      </c>
      <c r="L52" s="11" t="s">
        <v>186</v>
      </c>
      <c r="M52" s="18">
        <v>85</v>
      </c>
      <c r="N52" s="11" t="s">
        <v>103</v>
      </c>
      <c r="O52" s="11"/>
      <c r="P52" s="11"/>
      <c r="Q52" s="11"/>
      <c r="R52" s="11"/>
      <c r="S52" s="23">
        <v>80</v>
      </c>
      <c r="T52" s="11" t="s">
        <v>318</v>
      </c>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8">
        <f t="shared" si="1"/>
        <v>75</v>
      </c>
      <c r="BH52" s="12" t="str" cm="1">
        <f t="array" ref="BH52">_xlfn.TEXTJOIN(" ", TRUE, _xlfn._xlws.FILTER(C52:BF52, MOD(COLUMN(C52:BF52)-COLUMN(BJ52),2)=0))</f>
        <v xml:space="preserve">GOOD IN PLAYING FOOTBALL GOOD IN PLAYING SHUTTLE PLAYING WELL SHUTTLE PLAYING WELL SHUTTLE INTERESTED IN CEICKET PLAYING WELL SHUTTLE INTERESTED IN BADMINTON,CRICKET,LIKE TO PLAY BATTING </v>
      </c>
      <c r="BI52" s="11"/>
      <c r="BJ52" s="11"/>
      <c r="BK52" s="8"/>
      <c r="BL52" s="11"/>
      <c r="BM52" s="11"/>
      <c r="BN52" s="11"/>
    </row>
    <row r="53" spans="1:66" ht="14.35" customHeight="1" x14ac:dyDescent="0.45">
      <c r="A53" s="29"/>
      <c r="B53" s="8" t="s">
        <v>42</v>
      </c>
      <c r="C53" s="8">
        <v>50</v>
      </c>
      <c r="D53" s="11" t="s">
        <v>105</v>
      </c>
      <c r="E53" s="8">
        <v>50</v>
      </c>
      <c r="F53" s="11" t="s">
        <v>106</v>
      </c>
      <c r="G53" s="8">
        <v>50</v>
      </c>
      <c r="H53" s="11" t="s">
        <v>107</v>
      </c>
      <c r="I53" s="16">
        <v>65</v>
      </c>
      <c r="J53" s="11" t="s">
        <v>157</v>
      </c>
      <c r="K53" s="18">
        <v>85</v>
      </c>
      <c r="L53" s="11" t="s">
        <v>187</v>
      </c>
      <c r="M53" s="16">
        <v>65</v>
      </c>
      <c r="N53" s="11" t="s">
        <v>157</v>
      </c>
      <c r="O53" s="11"/>
      <c r="P53" s="11"/>
      <c r="Q53" s="11"/>
      <c r="R53" s="11"/>
      <c r="S53" s="11">
        <v>75</v>
      </c>
      <c r="T53" s="11" t="s">
        <v>258</v>
      </c>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8">
        <f t="shared" si="1"/>
        <v>62.857142857142854</v>
      </c>
      <c r="BH53" s="12" t="str" cm="1">
        <f t="array" ref="BH53">_xlfn.TEXTJOIN(" ", TRUE, _xlfn._xlws.FILTER(C53:BF53, MOD(COLUMN(C53:BF53)-COLUMN(BJ53),2)=0))</f>
        <v>SHOWING INTEREST NEED TO PRATICE ANSWERING WELL PERFORMING WELL NEED MOTIVATION NEED MORE PRACTICE CAN DO BETTER  PERFORMING WELL NEED MOTIVATION INTERESTED IN GAMING , TYPING IN COMPUTER  PERFORMING WELL NEED MOTIVATION BASIC SKILLS LIKE TYPING</v>
      </c>
      <c r="BI53" s="11"/>
      <c r="BJ53" s="11"/>
      <c r="BK53" s="8"/>
      <c r="BL53" s="11"/>
      <c r="BM53" s="11"/>
      <c r="BN53" s="11"/>
    </row>
    <row r="54" spans="1:66" ht="14.35" customHeight="1" x14ac:dyDescent="0.45">
      <c r="A54" s="29"/>
      <c r="B54" s="8" t="s">
        <v>43</v>
      </c>
      <c r="C54" s="8">
        <v>50</v>
      </c>
      <c r="D54" s="11" t="s">
        <v>70</v>
      </c>
      <c r="E54" s="8">
        <v>50</v>
      </c>
      <c r="F54" s="11" t="s">
        <v>131</v>
      </c>
      <c r="G54" s="16">
        <v>65</v>
      </c>
      <c r="H54" s="11" t="s">
        <v>148</v>
      </c>
      <c r="I54" s="8">
        <v>75</v>
      </c>
      <c r="J54" s="11" t="s">
        <v>162</v>
      </c>
      <c r="K54" s="8">
        <v>75</v>
      </c>
      <c r="L54" s="11" t="s">
        <v>188</v>
      </c>
      <c r="M54" s="21">
        <v>80</v>
      </c>
      <c r="N54" s="11" t="s">
        <v>205</v>
      </c>
      <c r="O54" s="11">
        <v>75</v>
      </c>
      <c r="P54" s="11" t="s">
        <v>212</v>
      </c>
      <c r="Q54" s="11"/>
      <c r="R54" s="11"/>
      <c r="S54" s="23">
        <v>80</v>
      </c>
      <c r="T54" s="11" t="s">
        <v>294</v>
      </c>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8">
        <f t="shared" si="1"/>
        <v>68.75</v>
      </c>
      <c r="BH54" s="12" t="str" cm="1">
        <f t="array" ref="BH54">_xlfn.TEXTJOIN(" ", TRUE, _xlfn._xlws.FILTER(C54:BF54, MOD(COLUMN(C54:BF54)-COLUMN(BJ54),2)=0))</f>
        <v>AVERAGE PARTICIPATION IN THE CLASS TRYING TO SIMPLIFY THE FIGURE GOOD IN CREATING DARKER AND MORE COMPLEX TONE PERFORMING WELL ACTIVE IN THE CLASS INTERESTED IN DRAWING DEVELOPING THE VOLUME AND DEPTH OF THE FIGURE NEED TO FOLLOW VERTICAL MEASUREMENT PROPERLY SHOWING WILLINGNESS IN DRAWING</v>
      </c>
      <c r="BI54" s="11"/>
      <c r="BJ54" s="11"/>
      <c r="BK54" s="8"/>
      <c r="BL54" s="11"/>
      <c r="BM54" s="11"/>
      <c r="BN54" s="11"/>
    </row>
    <row r="55" spans="1:66" ht="14.35" customHeight="1" x14ac:dyDescent="0.45">
      <c r="A55" s="29"/>
      <c r="B55" s="8" t="s">
        <v>44</v>
      </c>
      <c r="C55" s="8"/>
      <c r="D55" s="11" t="s">
        <v>99</v>
      </c>
      <c r="E55" s="8">
        <v>25</v>
      </c>
      <c r="F55" s="11" t="s">
        <v>77</v>
      </c>
      <c r="G55" s="8">
        <v>50</v>
      </c>
      <c r="H55" s="11" t="s">
        <v>115</v>
      </c>
      <c r="I55" s="8">
        <v>25</v>
      </c>
      <c r="J55" s="11" t="s">
        <v>170</v>
      </c>
      <c r="K55" s="8"/>
      <c r="L55" s="11"/>
      <c r="M55" s="11"/>
      <c r="N55" s="11"/>
      <c r="O55" s="11"/>
      <c r="P55" s="11"/>
      <c r="Q55" s="11"/>
      <c r="R55" s="11"/>
      <c r="S55" s="23">
        <v>80</v>
      </c>
      <c r="T55" s="11" t="s">
        <v>293</v>
      </c>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8">
        <f t="shared" si="1"/>
        <v>45</v>
      </c>
      <c r="BH55" s="12" t="str" cm="1">
        <f t="array" ref="BH55">_xlfn.TEXTJOIN(" ", TRUE, _xlfn._xlws.FILTER(C55:BF55, MOD(COLUMN(C55:BF55)-COLUMN(BJ55),2)=0))</f>
        <v>CLASS CANCELLED NEUTRAL PARTICIPATION NEED TO IMPROVE READING ABILITY NEUTRAL PARTCIPATION PREFER ALL KIND OF BOOKS TO READ</v>
      </c>
      <c r="BI55" s="11"/>
      <c r="BJ55" s="11"/>
      <c r="BK55" s="8"/>
      <c r="BL55" s="11"/>
      <c r="BM55" s="11"/>
      <c r="BN55" s="11"/>
    </row>
    <row r="56" spans="1:66" ht="14.35" customHeight="1" x14ac:dyDescent="0.45">
      <c r="A56" s="30"/>
      <c r="B56" s="8" t="s">
        <v>45</v>
      </c>
      <c r="C56" s="8"/>
      <c r="D56" s="11"/>
      <c r="E56" s="8"/>
      <c r="F56" s="11"/>
      <c r="G56" s="8"/>
      <c r="H56" s="11"/>
      <c r="I56" s="8"/>
      <c r="J56" s="11"/>
      <c r="K56" s="8"/>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8" t="str">
        <f t="shared" si="1"/>
        <v/>
      </c>
      <c r="BH56" s="12" t="str" cm="1">
        <f t="array" ref="BH56">_xlfn.TEXTJOIN(" ", TRUE, _xlfn._xlws.FILTER(C56:BF56, MOD(COLUMN(C56:BF56)-COLUMN(BJ56),2)=0))</f>
        <v/>
      </c>
      <c r="BI56" s="11"/>
      <c r="BJ56" s="11"/>
      <c r="BK56" s="8"/>
      <c r="BL56" s="11"/>
      <c r="BM56" s="11"/>
      <c r="BN56" s="11"/>
    </row>
    <row r="57" spans="1:66" ht="14.35" customHeight="1" x14ac:dyDescent="0.45">
      <c r="A57" s="28" t="s">
        <v>51</v>
      </c>
      <c r="B57" s="8" t="s">
        <v>40</v>
      </c>
      <c r="C57" s="8"/>
      <c r="D57" s="11"/>
      <c r="E57" s="8"/>
      <c r="F57" s="11"/>
      <c r="G57" s="8"/>
      <c r="H57" s="11"/>
      <c r="I57" s="8"/>
      <c r="J57" s="11"/>
      <c r="K57" s="8"/>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8" t="str">
        <f t="shared" si="1"/>
        <v/>
      </c>
      <c r="BH57" s="12" t="str" cm="1">
        <f t="array" ref="BH57">_xlfn.TEXTJOIN(" ", TRUE, _xlfn._xlws.FILTER(C57:BF57, MOD(COLUMN(C57:BF57)-COLUMN(BJ57),2)=0))</f>
        <v/>
      </c>
      <c r="BI57" s="11"/>
      <c r="BJ57" s="11"/>
      <c r="BK57" s="8"/>
      <c r="BL57" s="11"/>
      <c r="BM57" s="11"/>
      <c r="BN57" s="11"/>
    </row>
    <row r="58" spans="1:66" ht="14.35" customHeight="1" x14ac:dyDescent="0.45">
      <c r="A58" s="29"/>
      <c r="B58" s="8" t="s">
        <v>41</v>
      </c>
      <c r="C58" s="8">
        <v>50</v>
      </c>
      <c r="D58" s="11" t="s">
        <v>101</v>
      </c>
      <c r="E58" s="16">
        <v>65</v>
      </c>
      <c r="F58" s="11" t="s">
        <v>102</v>
      </c>
      <c r="G58" s="8">
        <v>75</v>
      </c>
      <c r="H58" s="11" t="s">
        <v>103</v>
      </c>
      <c r="I58" s="18">
        <v>85</v>
      </c>
      <c r="J58" s="11" t="s">
        <v>103</v>
      </c>
      <c r="K58" s="8"/>
      <c r="L58" s="11"/>
      <c r="M58" s="18">
        <v>85</v>
      </c>
      <c r="N58" s="11" t="s">
        <v>103</v>
      </c>
      <c r="O58" s="11"/>
      <c r="P58" s="11"/>
      <c r="Q58" s="11"/>
      <c r="R58" s="11"/>
      <c r="S58" s="23">
        <v>80</v>
      </c>
      <c r="T58" s="11" t="s">
        <v>300</v>
      </c>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8">
        <f t="shared" si="1"/>
        <v>73.333333333333329</v>
      </c>
      <c r="BH58" s="12" t="str" cm="1">
        <f t="array" ref="BH58">_xlfn.TEXTJOIN(" ", TRUE, _xlfn._xlws.FILTER(C58:BF58, MOD(COLUMN(C58:BF58)-COLUMN(BJ58),2)=0))</f>
        <v>GOOD IN PLAYING FOOTBALL GOOD IN PLAYING SHUTTLE PLAYING WELL SHUTTLE PLAYING WELL SHUTTLE PLAYING WELL SHUTTLE INTERESTED IN FOOTBALL,BADMINTON</v>
      </c>
      <c r="BI58" s="11"/>
      <c r="BJ58" s="11"/>
      <c r="BK58" s="8"/>
      <c r="BL58" s="11"/>
      <c r="BM58" s="11"/>
      <c r="BN58" s="11"/>
    </row>
    <row r="59" spans="1:66" ht="14.35" customHeight="1" x14ac:dyDescent="0.45">
      <c r="A59" s="29"/>
      <c r="B59" s="8" t="s">
        <v>42</v>
      </c>
      <c r="C59" s="8">
        <v>50</v>
      </c>
      <c r="D59" s="11" t="s">
        <v>105</v>
      </c>
      <c r="E59" s="8">
        <v>50</v>
      </c>
      <c r="F59" s="11" t="s">
        <v>106</v>
      </c>
      <c r="G59" s="8">
        <v>50</v>
      </c>
      <c r="H59" s="11" t="s">
        <v>107</v>
      </c>
      <c r="I59" s="16">
        <v>65</v>
      </c>
      <c r="J59" s="11" t="s">
        <v>157</v>
      </c>
      <c r="K59" s="8" t="s">
        <v>72</v>
      </c>
      <c r="L59" s="11" t="s">
        <v>86</v>
      </c>
      <c r="M59" s="16">
        <v>65</v>
      </c>
      <c r="N59" s="11" t="s">
        <v>157</v>
      </c>
      <c r="O59" s="11"/>
      <c r="P59" s="11"/>
      <c r="Q59" s="11"/>
      <c r="R59" s="11"/>
      <c r="S59" s="11">
        <v>75</v>
      </c>
      <c r="T59" s="11" t="s">
        <v>258</v>
      </c>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8">
        <f t="shared" si="1"/>
        <v>59.166666666666664</v>
      </c>
      <c r="BH59" s="12" t="str" cm="1">
        <f t="array" ref="BH59">_xlfn.TEXTJOIN(" ", TRUE, _xlfn._xlws.FILTER(C59:BF59, MOD(COLUMN(C59:BF59)-COLUMN(BJ59),2)=0))</f>
        <v>SHOWING INTEREST NEED TO PRATICE ANSWERING WELL PERFORMING WELL NEED MOTIVATION NEED MORE PRACTICE CAN DO BETTER  PERFORMING WELL NEED MOTIVATION ABSENT  PERFORMING WELL NEED MOTIVATION BASIC SKILLS LIKE TYPING</v>
      </c>
      <c r="BI59" s="11"/>
      <c r="BJ59" s="11"/>
      <c r="BK59" s="8"/>
      <c r="BL59" s="11"/>
      <c r="BM59" s="11"/>
      <c r="BN59" s="11"/>
    </row>
    <row r="60" spans="1:66" ht="14.35" customHeight="1" x14ac:dyDescent="0.45">
      <c r="A60" s="29"/>
      <c r="B60" s="8" t="s">
        <v>43</v>
      </c>
      <c r="C60" s="8"/>
      <c r="D60" s="11"/>
      <c r="E60" s="8"/>
      <c r="F60" s="11"/>
      <c r="G60" s="8"/>
      <c r="H60" s="11"/>
      <c r="I60" s="8"/>
      <c r="J60" s="11"/>
      <c r="K60" s="8"/>
      <c r="L60" s="11"/>
      <c r="M60" s="11"/>
      <c r="N60" s="11" t="s">
        <v>208</v>
      </c>
      <c r="O60" s="11" t="s">
        <v>72</v>
      </c>
      <c r="P60" s="11"/>
      <c r="Q60" s="11"/>
      <c r="R60" s="11"/>
      <c r="S60" s="23">
        <v>80</v>
      </c>
      <c r="T60" s="11" t="s">
        <v>139</v>
      </c>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8">
        <f t="shared" si="1"/>
        <v>80</v>
      </c>
      <c r="BH60" s="12" t="str" cm="1">
        <f t="array" ref="BH60">_xlfn.TEXTJOIN(" ", TRUE, _xlfn._xlws.FILTER(C60:BF60, MOD(COLUMN(C60:BF60)-COLUMN(BJ60),2)=0))</f>
        <v>WENT TO PARTICEPATE IN ELOCUTION UTILIZING THE LINES NEATLY</v>
      </c>
      <c r="BI60" s="11"/>
      <c r="BJ60" s="11"/>
      <c r="BK60" s="8"/>
      <c r="BL60" s="11"/>
      <c r="BM60" s="11"/>
      <c r="BN60" s="11"/>
    </row>
    <row r="61" spans="1:66" ht="14.35" customHeight="1" x14ac:dyDescent="0.45">
      <c r="A61" s="29"/>
      <c r="B61" s="8" t="s">
        <v>44</v>
      </c>
      <c r="C61" s="8"/>
      <c r="D61" s="11" t="s">
        <v>99</v>
      </c>
      <c r="E61" s="8">
        <v>25</v>
      </c>
      <c r="F61" s="11" t="s">
        <v>77</v>
      </c>
      <c r="G61" s="8">
        <v>50</v>
      </c>
      <c r="H61" s="11" t="s">
        <v>116</v>
      </c>
      <c r="I61" s="8">
        <v>50</v>
      </c>
      <c r="J61" s="11" t="s">
        <v>169</v>
      </c>
      <c r="K61" s="8"/>
      <c r="L61" s="11"/>
      <c r="M61" s="11"/>
      <c r="N61" s="11"/>
      <c r="O61" s="11"/>
      <c r="P61" s="11"/>
      <c r="Q61" s="11"/>
      <c r="R61" s="11"/>
      <c r="S61" s="23">
        <v>80</v>
      </c>
      <c r="T61" s="11" t="s">
        <v>322</v>
      </c>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8">
        <f t="shared" si="1"/>
        <v>51.25</v>
      </c>
      <c r="BH61" s="12" t="str" cm="1">
        <f t="array" ref="BH61">_xlfn.TEXTJOIN(" ", TRUE, _xlfn._xlws.FILTER(C61:BF61, MOD(COLUMN(C61:BF61)-COLUMN(BJ61),2)=0))</f>
        <v>CLASS CANCELLED NEUTRAL PARTICIPATION NEED TO FOCUS ON VOCABULARY GOOD IN READING NNED TO PAY ATTENTION PREFER TO READ MORAL STORIES</v>
      </c>
      <c r="BI61" s="11"/>
      <c r="BJ61" s="11"/>
      <c r="BK61" s="8"/>
      <c r="BL61" s="11"/>
      <c r="BM61" s="11"/>
      <c r="BN61" s="11"/>
    </row>
    <row r="62" spans="1:66" ht="14.35" customHeight="1" x14ac:dyDescent="0.45">
      <c r="A62" s="30"/>
      <c r="B62" s="8" t="s">
        <v>45</v>
      </c>
      <c r="C62" s="8"/>
      <c r="D62" s="11"/>
      <c r="E62" s="8"/>
      <c r="F62" s="11"/>
      <c r="G62" s="8"/>
      <c r="H62" s="11"/>
      <c r="I62" s="8"/>
      <c r="J62" s="11"/>
      <c r="K62" s="8"/>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8" t="str">
        <f t="shared" si="1"/>
        <v/>
      </c>
      <c r="BH62" s="12" t="str" cm="1">
        <f t="array" ref="BH62">_xlfn.TEXTJOIN(" ", TRUE, _xlfn._xlws.FILTER(C62:BF62, MOD(COLUMN(C62:BF62)-COLUMN(BJ62),2)=0))</f>
        <v/>
      </c>
      <c r="BI62" s="11"/>
      <c r="BJ62" s="11"/>
      <c r="BK62" s="8"/>
      <c r="BL62" s="11"/>
      <c r="BM62" s="11"/>
      <c r="BN62" s="11"/>
    </row>
    <row r="63" spans="1:66" ht="14.35" customHeight="1" x14ac:dyDescent="0.45">
      <c r="A63" s="28" t="s">
        <v>52</v>
      </c>
      <c r="B63" s="8" t="s">
        <v>40</v>
      </c>
      <c r="C63" s="8"/>
      <c r="D63" s="11"/>
      <c r="E63" s="8"/>
      <c r="F63" s="11"/>
      <c r="G63" s="8"/>
      <c r="H63" s="11"/>
      <c r="I63" s="8"/>
      <c r="J63" s="11"/>
      <c r="K63" s="17">
        <v>84</v>
      </c>
      <c r="L63" s="11" t="s">
        <v>178</v>
      </c>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8">
        <f t="shared" si="1"/>
        <v>84</v>
      </c>
      <c r="BH63" s="12" t="str" cm="1">
        <f t="array" ref="BH63">_xlfn.TEXTJOIN(" ", TRUE, _xlfn._xlws.FILTER(C63:BF63, MOD(COLUMN(C63:BF63)-COLUMN(BJ63),2)=0))</f>
        <v>GOOD IN BIOLOGY</v>
      </c>
      <c r="BI63" s="11"/>
      <c r="BJ63" s="11"/>
      <c r="BK63" s="8"/>
      <c r="BL63" s="11"/>
      <c r="BM63" s="11"/>
      <c r="BN63" s="11"/>
    </row>
    <row r="64" spans="1:66" ht="14.35" customHeight="1" x14ac:dyDescent="0.45">
      <c r="A64" s="29"/>
      <c r="B64" s="8" t="s">
        <v>41</v>
      </c>
      <c r="C64" s="8">
        <v>50</v>
      </c>
      <c r="D64" s="11" t="s">
        <v>101</v>
      </c>
      <c r="E64" s="16">
        <v>65</v>
      </c>
      <c r="F64" s="11" t="s">
        <v>102</v>
      </c>
      <c r="G64" s="8">
        <v>75</v>
      </c>
      <c r="H64" s="11" t="s">
        <v>103</v>
      </c>
      <c r="I64" s="18">
        <v>85</v>
      </c>
      <c r="J64" s="11" t="s">
        <v>103</v>
      </c>
      <c r="K64" s="18">
        <v>85</v>
      </c>
      <c r="L64" s="11" t="s">
        <v>186</v>
      </c>
      <c r="M64" s="18">
        <v>85</v>
      </c>
      <c r="N64" s="11" t="s">
        <v>103</v>
      </c>
      <c r="O64" s="11"/>
      <c r="P64" s="11"/>
      <c r="Q64" s="11"/>
      <c r="R64" s="11"/>
      <c r="S64" s="23">
        <v>80</v>
      </c>
      <c r="T64" s="11" t="s">
        <v>319</v>
      </c>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8">
        <f t="shared" si="1"/>
        <v>75</v>
      </c>
      <c r="BH64" s="12" t="str" cm="1">
        <f t="array" ref="BH64">_xlfn.TEXTJOIN(" ", TRUE, _xlfn._xlws.FILTER(C64:BF64, MOD(COLUMN(C64:BF64)-COLUMN(BJ64),2)=0))</f>
        <v>GOOD IN PLAYING FOOTBALL GOOD IN PLAYING SHUTTLE PLAYING WELL SHUTTLE PLAYING WELL SHUTTLE INTERESTED IN CEICKET PLAYING WELL SHUTTLE INTERESTED IN BADMINTON ,CRICKET,LIKES TO PLAY BOWLING</v>
      </c>
      <c r="BI64" s="11"/>
      <c r="BJ64" s="11"/>
      <c r="BK64" s="8"/>
      <c r="BL64" s="11"/>
      <c r="BM64" s="11"/>
      <c r="BN64" s="11"/>
    </row>
    <row r="65" spans="1:66" ht="14.35" customHeight="1" x14ac:dyDescent="0.45">
      <c r="A65" s="29"/>
      <c r="B65" s="8" t="s">
        <v>42</v>
      </c>
      <c r="C65" s="8">
        <v>50</v>
      </c>
      <c r="D65" s="11" t="s">
        <v>105</v>
      </c>
      <c r="E65" s="8">
        <v>50</v>
      </c>
      <c r="F65" s="11" t="s">
        <v>106</v>
      </c>
      <c r="G65" s="8">
        <v>50</v>
      </c>
      <c r="H65" s="11" t="s">
        <v>107</v>
      </c>
      <c r="I65" s="16">
        <v>65</v>
      </c>
      <c r="J65" s="11" t="s">
        <v>157</v>
      </c>
      <c r="K65" s="8">
        <v>75</v>
      </c>
      <c r="L65" s="11" t="s">
        <v>187</v>
      </c>
      <c r="M65" s="16">
        <v>65</v>
      </c>
      <c r="N65" s="11" t="s">
        <v>157</v>
      </c>
      <c r="O65" s="11"/>
      <c r="P65" s="11"/>
      <c r="Q65" s="11"/>
      <c r="R65" s="11"/>
      <c r="S65" s="11">
        <v>75</v>
      </c>
      <c r="T65" s="11" t="s">
        <v>258</v>
      </c>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8">
        <f t="shared" si="1"/>
        <v>61.428571428571431</v>
      </c>
      <c r="BH65" s="12" t="str" cm="1">
        <f t="array" ref="BH65">_xlfn.TEXTJOIN(" ", TRUE, _xlfn._xlws.FILTER(C65:BF65, MOD(COLUMN(C65:BF65)-COLUMN(BJ65),2)=0))</f>
        <v>SHOWING INTEREST NEED TO PRATICE ANSWERING WELL PERFORMING WELL NEED MOTIVATION NEED MORE PRACTICE CAN DO BETTER  PERFORMING WELL NEED MOTIVATION INTERESTED IN GAMING , TYPING IN COMPUTER  PERFORMING WELL NEED MOTIVATION BASIC SKILLS LIKE TYPING</v>
      </c>
      <c r="BI65" s="11"/>
      <c r="BJ65" s="11"/>
      <c r="BK65" s="8"/>
      <c r="BL65" s="11"/>
      <c r="BM65" s="11"/>
      <c r="BN65" s="11"/>
    </row>
    <row r="66" spans="1:66" ht="14.35" customHeight="1" x14ac:dyDescent="0.45">
      <c r="A66" s="29"/>
      <c r="B66" s="8" t="s">
        <v>43</v>
      </c>
      <c r="C66" s="8"/>
      <c r="D66" s="11" t="s">
        <v>74</v>
      </c>
      <c r="E66" s="8" t="s">
        <v>72</v>
      </c>
      <c r="F66" s="11"/>
      <c r="G66" s="16">
        <v>65</v>
      </c>
      <c r="H66" s="11" t="s">
        <v>150</v>
      </c>
      <c r="I66" s="8">
        <v>75</v>
      </c>
      <c r="J66" s="11" t="s">
        <v>163</v>
      </c>
      <c r="K66" s="18">
        <v>85</v>
      </c>
      <c r="L66" s="11" t="s">
        <v>188</v>
      </c>
      <c r="M66" s="11"/>
      <c r="N66" s="11" t="s">
        <v>208</v>
      </c>
      <c r="O66" s="11">
        <v>75</v>
      </c>
      <c r="P66" s="11" t="s">
        <v>214</v>
      </c>
      <c r="Q66" s="11"/>
      <c r="R66" s="11"/>
      <c r="S66" s="23">
        <v>80</v>
      </c>
      <c r="T66" s="11" t="s">
        <v>140</v>
      </c>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8">
        <f t="shared" si="1"/>
        <v>76</v>
      </c>
      <c r="BH66" s="12" t="str" cm="1">
        <f t="array" ref="BH66">_xlfn.TEXTJOIN(" ", TRUE, _xlfn._xlws.FILTER(C66:BF66, MOD(COLUMN(C66:BF66)-COLUMN(BJ66),2)=0))</f>
        <v>NOT ATTENDED THE CLASS WENT TO ESSAY WRITING SHOWING VARIATION IN COMPLEX TONE ACTIVE PARTICEPATION DOING WELL IN THE CLASS INTERESTED IN DRAWING WENT TO PARTICEPATE IN ELOCUTION NEED TO FOLLOW HORIZONTAL MEASUREMENTS SIMPLIFYING THE CONTOUR WELL</v>
      </c>
      <c r="BI66" s="11"/>
      <c r="BJ66" s="11"/>
      <c r="BK66" s="8"/>
      <c r="BL66" s="11"/>
      <c r="BM66" s="11"/>
      <c r="BN66" s="11"/>
    </row>
    <row r="67" spans="1:66" ht="14.35" customHeight="1" x14ac:dyDescent="0.45">
      <c r="A67" s="29"/>
      <c r="B67" s="8" t="s">
        <v>44</v>
      </c>
      <c r="C67" s="8"/>
      <c r="D67" s="11" t="s">
        <v>99</v>
      </c>
      <c r="E67" s="16">
        <v>65</v>
      </c>
      <c r="F67" s="11" t="s">
        <v>92</v>
      </c>
      <c r="G67" s="8">
        <v>50</v>
      </c>
      <c r="H67" s="11" t="s">
        <v>117</v>
      </c>
      <c r="I67" s="8">
        <v>50</v>
      </c>
      <c r="J67" s="11" t="s">
        <v>168</v>
      </c>
      <c r="K67" s="8">
        <v>75</v>
      </c>
      <c r="L67" s="11" t="s">
        <v>189</v>
      </c>
      <c r="M67" s="11"/>
      <c r="N67" s="11"/>
      <c r="O67" s="11"/>
      <c r="P67" s="11"/>
      <c r="Q67" s="11">
        <v>75</v>
      </c>
      <c r="R67" s="11" t="s">
        <v>235</v>
      </c>
      <c r="S67" s="23">
        <v>80</v>
      </c>
      <c r="T67" s="11" t="s">
        <v>323</v>
      </c>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8">
        <f t="shared" si="1"/>
        <v>65.833333333333329</v>
      </c>
      <c r="BH67" s="12" t="str" cm="1">
        <f t="array" ref="BH67">_xlfn.TEXTJOIN(" ", TRUE, _xlfn._xlws.FILTER(C67:BF67, MOD(COLUMN(C67:BF67)-COLUMN(BJ67),2)=0))</f>
        <v>CLASS CANCELLED GOOD IN READING ,ENJOYS READING,WITH FOCUS  AVERAGE PARTICIPATION GOOD IN READING NEED TO CONCENTRATE INTERESTED IN STORY BOOKS INTERESTED IN READING,VERY CONCENTRACTED ,CLEAR AT EXPLANATION PREFER TO READ ALL KIND OF STORIES</v>
      </c>
      <c r="BI67" s="11"/>
      <c r="BJ67" s="11"/>
      <c r="BK67" s="8"/>
      <c r="BL67" s="11"/>
      <c r="BM67" s="11"/>
      <c r="BN67" s="11"/>
    </row>
    <row r="68" spans="1:66" ht="14.35" customHeight="1" x14ac:dyDescent="0.45">
      <c r="A68" s="30"/>
      <c r="B68" s="8" t="s">
        <v>45</v>
      </c>
      <c r="C68" s="8"/>
      <c r="D68" s="11"/>
      <c r="E68" s="8"/>
      <c r="F68" s="11"/>
      <c r="G68" s="8"/>
      <c r="H68" s="11"/>
      <c r="I68" s="8"/>
      <c r="J68" s="11"/>
      <c r="K68" s="8"/>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8" t="str">
        <f t="shared" ref="BG68:BG97" si="2">IFERROR(AVERAGEIF(C68:BE68,"&lt;&gt;nill"), "")</f>
        <v/>
      </c>
      <c r="BH68" s="12" t="str" cm="1">
        <f t="array" ref="BH68">_xlfn.TEXTJOIN(" ", TRUE, _xlfn._xlws.FILTER(C68:BF68, MOD(COLUMN(C68:BF68)-COLUMN(BJ68),2)=0))</f>
        <v/>
      </c>
      <c r="BI68" s="11"/>
      <c r="BJ68" s="11"/>
      <c r="BK68" s="8"/>
      <c r="BL68" s="11"/>
      <c r="BM68" s="11"/>
      <c r="BN68" s="11"/>
    </row>
    <row r="69" spans="1:66" ht="14.35" customHeight="1" x14ac:dyDescent="0.45">
      <c r="A69" s="28" t="s">
        <v>53</v>
      </c>
      <c r="B69" s="8" t="s">
        <v>40</v>
      </c>
      <c r="C69" s="8"/>
      <c r="D69" s="11"/>
      <c r="E69" s="8"/>
      <c r="F69" s="11"/>
      <c r="G69" s="8"/>
      <c r="H69" s="11"/>
      <c r="I69" s="8"/>
      <c r="J69" s="11"/>
      <c r="K69" s="8">
        <v>42</v>
      </c>
      <c r="L69" s="11" t="s">
        <v>175</v>
      </c>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8">
        <f t="shared" si="2"/>
        <v>42</v>
      </c>
      <c r="BH69" s="12" t="str" cm="1">
        <f t="array" ref="BH69">_xlfn.TEXTJOIN(" ", TRUE, _xlfn._xlws.FILTER(C69:BF69, MOD(COLUMN(C69:BF69)-COLUMN(BJ69),2)=0))</f>
        <v>AVERAGE PERFORMANCE IN STUIDIES</v>
      </c>
      <c r="BI69" s="11"/>
      <c r="BJ69" s="11"/>
      <c r="BK69" s="8"/>
      <c r="BL69" s="11"/>
      <c r="BM69" s="11"/>
      <c r="BN69" s="11"/>
    </row>
    <row r="70" spans="1:66" ht="14.35" customHeight="1" x14ac:dyDescent="0.45">
      <c r="A70" s="29"/>
      <c r="B70" s="8" t="s">
        <v>41</v>
      </c>
      <c r="C70" s="8">
        <v>50</v>
      </c>
      <c r="D70" s="11" t="s">
        <v>101</v>
      </c>
      <c r="E70" s="16">
        <v>65</v>
      </c>
      <c r="F70" s="11" t="s">
        <v>102</v>
      </c>
      <c r="G70" s="8">
        <v>75</v>
      </c>
      <c r="H70" s="11" t="s">
        <v>103</v>
      </c>
      <c r="I70" s="18">
        <v>85</v>
      </c>
      <c r="J70" s="11" t="s">
        <v>103</v>
      </c>
      <c r="K70" s="18">
        <v>85</v>
      </c>
      <c r="L70" s="11" t="s">
        <v>190</v>
      </c>
      <c r="M70" s="18">
        <v>85</v>
      </c>
      <c r="N70" s="11" t="s">
        <v>103</v>
      </c>
      <c r="O70" s="11"/>
      <c r="P70" s="11"/>
      <c r="Q70" s="11"/>
      <c r="R70" s="11"/>
      <c r="S70" s="23">
        <v>75</v>
      </c>
      <c r="T70" s="11" t="s">
        <v>320</v>
      </c>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8">
        <f t="shared" si="2"/>
        <v>74.285714285714292</v>
      </c>
      <c r="BH70" s="12" t="str" cm="1">
        <f t="array" ref="BH70">_xlfn.TEXTJOIN(" ", TRUE, _xlfn._xlws.FILTER(C70:BF70, MOD(COLUMN(C70:BF70)-COLUMN(BJ70),2)=0))</f>
        <v>GOOD IN PLAYING FOOTBALL GOOD IN PLAYING SHUTTLE PLAYING WELL SHUTTLE PLAYING WELL SHUTTLE INTERESTED IN KHO-KHO PLAYING WELL SHUTTLE INTERESTED IN CRICKET BATTING</v>
      </c>
      <c r="BI70" s="11"/>
      <c r="BJ70" s="11"/>
      <c r="BK70" s="8"/>
      <c r="BL70" s="11"/>
      <c r="BM70" s="11"/>
      <c r="BN70" s="11"/>
    </row>
    <row r="71" spans="1:66" ht="14.35" customHeight="1" x14ac:dyDescent="0.45">
      <c r="A71" s="29"/>
      <c r="B71" s="8" t="s">
        <v>42</v>
      </c>
      <c r="C71" s="8">
        <v>50</v>
      </c>
      <c r="D71" s="11" t="s">
        <v>105</v>
      </c>
      <c r="E71" s="8">
        <v>50</v>
      </c>
      <c r="F71" s="11" t="s">
        <v>106</v>
      </c>
      <c r="G71" s="8">
        <v>50</v>
      </c>
      <c r="H71" s="11" t="s">
        <v>107</v>
      </c>
      <c r="I71" s="16">
        <v>65</v>
      </c>
      <c r="J71" s="11" t="s">
        <v>157</v>
      </c>
      <c r="K71" s="18">
        <v>85</v>
      </c>
      <c r="L71" s="11" t="s">
        <v>187</v>
      </c>
      <c r="M71" s="16">
        <v>65</v>
      </c>
      <c r="N71" s="11" t="s">
        <v>157</v>
      </c>
      <c r="O71" s="11"/>
      <c r="P71" s="11"/>
      <c r="Q71" s="11"/>
      <c r="R71" s="11"/>
      <c r="S71" s="23">
        <v>80</v>
      </c>
      <c r="T71" s="11" t="s">
        <v>299</v>
      </c>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8">
        <f t="shared" si="2"/>
        <v>63.571428571428569</v>
      </c>
      <c r="BH71" s="12" t="str" cm="1">
        <f t="array" ref="BH71">_xlfn.TEXTJOIN(" ", TRUE, _xlfn._xlws.FILTER(C71:BF71, MOD(COLUMN(C71:BF71)-COLUMN(BJ71),2)=0))</f>
        <v>SHOWING INTEREST NEED TO PRATICE ANSWERING WELL PERFORMING WELL NEED MOTIVATION NEED MORE PRACTICE CAN DO BETTER  PERFORMING WELL NEED MOTIVATION INTERESTED IN GAMING , TYPING IN COMPUTER  PERFORMING WELL NEED MOTIVATION BASIC SKILLS LIKE TYPING&amp;DRAWING</v>
      </c>
      <c r="BI71" s="11"/>
      <c r="BJ71" s="11"/>
      <c r="BK71" s="8"/>
      <c r="BL71" s="11"/>
      <c r="BM71" s="11"/>
      <c r="BN71" s="11"/>
    </row>
    <row r="72" spans="1:66" ht="14.35" customHeight="1" x14ac:dyDescent="0.45">
      <c r="A72" s="29"/>
      <c r="B72" s="8" t="s">
        <v>43</v>
      </c>
      <c r="C72" s="8" t="s">
        <v>72</v>
      </c>
      <c r="D72" s="11" t="s">
        <v>72</v>
      </c>
      <c r="E72" s="8" t="s">
        <v>72</v>
      </c>
      <c r="F72" s="11" t="s">
        <v>86</v>
      </c>
      <c r="G72" s="16">
        <v>65</v>
      </c>
      <c r="H72" s="11" t="s">
        <v>151</v>
      </c>
      <c r="I72" s="8">
        <v>75</v>
      </c>
      <c r="J72" s="11" t="s">
        <v>161</v>
      </c>
      <c r="K72" s="8">
        <v>75</v>
      </c>
      <c r="L72" s="11" t="s">
        <v>188</v>
      </c>
      <c r="M72" s="11">
        <v>25</v>
      </c>
      <c r="N72" s="11" t="s">
        <v>77</v>
      </c>
      <c r="O72" s="11">
        <v>75</v>
      </c>
      <c r="P72" s="11" t="s">
        <v>215</v>
      </c>
      <c r="Q72" s="11"/>
      <c r="R72" s="11"/>
      <c r="S72" s="23">
        <v>80</v>
      </c>
      <c r="T72" s="11" t="s">
        <v>132</v>
      </c>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8">
        <f t="shared" si="2"/>
        <v>65.833333333333329</v>
      </c>
      <c r="BH72" s="12" t="str" cm="1">
        <f t="array" ref="BH72">_xlfn.TEXTJOIN(" ", TRUE, _xlfn._xlws.FILTER(C72:BF72, MOD(COLUMN(C72:BF72)-COLUMN(BJ72),2)=0))</f>
        <v>AB ABSENT CROSS HATCHING DIMENSIONAL EFFECTS ON THE SURFACE PROPORTION OF THE FIGURE IS ACCURATE  INTERESTED IN DRAWING NEUTRAL PARTICIPATION FOLLOWING ONLY HORIZONTAL MEASUREMENTS GOOD OBSERVATION SKILLS</v>
      </c>
      <c r="BI72" s="11"/>
      <c r="BJ72" s="11"/>
      <c r="BK72" s="8"/>
      <c r="BL72" s="11"/>
      <c r="BM72" s="11"/>
      <c r="BN72" s="11"/>
    </row>
    <row r="73" spans="1:66" ht="14.35" customHeight="1" x14ac:dyDescent="0.45">
      <c r="A73" s="29"/>
      <c r="B73" s="8" t="s">
        <v>44</v>
      </c>
      <c r="C73" s="8"/>
      <c r="D73" s="11" t="s">
        <v>99</v>
      </c>
      <c r="E73" s="8">
        <v>25</v>
      </c>
      <c r="F73" s="11" t="s">
        <v>77</v>
      </c>
      <c r="G73" s="8">
        <v>50</v>
      </c>
      <c r="H73" s="11" t="s">
        <v>119</v>
      </c>
      <c r="I73" s="8">
        <v>25</v>
      </c>
      <c r="J73" s="11" t="s">
        <v>170</v>
      </c>
      <c r="K73" s="8"/>
      <c r="L73" s="11"/>
      <c r="M73" s="11"/>
      <c r="N73" s="11"/>
      <c r="O73" s="11"/>
      <c r="P73" s="11"/>
      <c r="Q73" s="11"/>
      <c r="R73" s="11"/>
      <c r="S73" s="23">
        <v>80</v>
      </c>
      <c r="T73" s="11" t="s">
        <v>324</v>
      </c>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8">
        <f t="shared" si="2"/>
        <v>45</v>
      </c>
      <c r="BH73" s="12" t="str" cm="1">
        <f t="array" ref="BH73">_xlfn.TEXTJOIN(" ", TRUE, _xlfn._xlws.FILTER(C73:BF73, MOD(COLUMN(C73:BF73)-COLUMN(BJ73),2)=0))</f>
        <v>CLASS CANCELLED NEUTRAL PARTICIPATION NEED TO CONCENTRATE NEUTRAL PARTCIPATION PREFER TO READ HORROR STORIES</v>
      </c>
      <c r="BI73" s="11"/>
      <c r="BJ73" s="11"/>
      <c r="BK73" s="8"/>
      <c r="BL73" s="11"/>
      <c r="BM73" s="11"/>
      <c r="BN73" s="11"/>
    </row>
    <row r="74" spans="1:66" ht="14.35" customHeight="1" x14ac:dyDescent="0.45">
      <c r="A74" s="30"/>
      <c r="B74" s="8" t="s">
        <v>45</v>
      </c>
      <c r="C74" s="8"/>
      <c r="D74" s="11"/>
      <c r="E74" s="8"/>
      <c r="F74" s="11"/>
      <c r="G74" s="8"/>
      <c r="H74" s="11"/>
      <c r="I74" s="8"/>
      <c r="J74" s="11"/>
      <c r="K74" s="8"/>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8" t="str">
        <f t="shared" si="2"/>
        <v/>
      </c>
      <c r="BH74" s="12" t="str" cm="1">
        <f t="array" ref="BH74">_xlfn.TEXTJOIN(" ", TRUE, _xlfn._xlws.FILTER(C74:BF74, MOD(COLUMN(C74:BF74)-COLUMN(BJ74),2)=0))</f>
        <v/>
      </c>
      <c r="BI74" s="11"/>
      <c r="BJ74" s="11"/>
      <c r="BK74" s="8"/>
      <c r="BL74" s="11"/>
      <c r="BM74" s="11"/>
      <c r="BN74" s="11"/>
    </row>
    <row r="75" spans="1:66" ht="14.35" customHeight="1" x14ac:dyDescent="0.45">
      <c r="A75" s="28" t="s">
        <v>54</v>
      </c>
      <c r="B75" s="8" t="s">
        <v>40</v>
      </c>
      <c r="C75" s="8"/>
      <c r="D75" s="11"/>
      <c r="E75" s="8"/>
      <c r="F75" s="11"/>
      <c r="G75" s="8"/>
      <c r="H75" s="11"/>
      <c r="I75" s="8"/>
      <c r="J75" s="11"/>
      <c r="K75" s="8"/>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8" t="str">
        <f t="shared" si="2"/>
        <v/>
      </c>
      <c r="BH75" s="12" t="str" cm="1">
        <f t="array" ref="BH75">_xlfn.TEXTJOIN(" ", TRUE, _xlfn._xlws.FILTER(C75:BF75, MOD(COLUMN(C75:BF75)-COLUMN(BJ75),2)=0))</f>
        <v/>
      </c>
      <c r="BI75" s="11"/>
      <c r="BJ75" s="11"/>
      <c r="BK75" s="8"/>
      <c r="BL75" s="11"/>
      <c r="BM75" s="11"/>
      <c r="BN75" s="11"/>
    </row>
    <row r="76" spans="1:66" ht="14.35" customHeight="1" x14ac:dyDescent="0.45">
      <c r="A76" s="29"/>
      <c r="B76" s="8" t="s">
        <v>41</v>
      </c>
      <c r="C76" s="8">
        <v>50</v>
      </c>
      <c r="D76" s="11" t="s">
        <v>101</v>
      </c>
      <c r="E76" s="16">
        <v>65</v>
      </c>
      <c r="F76" s="11" t="s">
        <v>102</v>
      </c>
      <c r="G76" s="8">
        <v>75</v>
      </c>
      <c r="H76" s="11" t="s">
        <v>103</v>
      </c>
      <c r="I76" s="18">
        <v>85</v>
      </c>
      <c r="J76" s="11" t="s">
        <v>103</v>
      </c>
      <c r="K76" s="8"/>
      <c r="L76" s="11"/>
      <c r="M76" s="18">
        <v>85</v>
      </c>
      <c r="N76" s="11" t="s">
        <v>103</v>
      </c>
      <c r="O76" s="11"/>
      <c r="P76" s="11"/>
      <c r="Q76" s="11"/>
      <c r="R76" s="11"/>
      <c r="S76" s="26">
        <v>85</v>
      </c>
      <c r="T76" s="11" t="s">
        <v>321</v>
      </c>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8">
        <f t="shared" si="2"/>
        <v>74.166666666666671</v>
      </c>
      <c r="BH76" s="12" t="str" cm="1">
        <f t="array" ref="BH76">_xlfn.TEXTJOIN(" ", TRUE, _xlfn._xlws.FILTER(C76:BF76, MOD(COLUMN(C76:BF76)-COLUMN(BJ76),2)=0))</f>
        <v>GOOD IN PLAYING FOOTBALL GOOD IN PLAYING SHUTTLE PLAYING WELL SHUTTLE PLAYING WELL SHUTTLE PLAYING WELL SHUTTLE INTERESTED IN FOOTBALL,BADMINTON,CRICKET</v>
      </c>
      <c r="BI76" s="11"/>
      <c r="BJ76" s="11"/>
      <c r="BK76" s="8"/>
      <c r="BL76" s="11"/>
      <c r="BM76" s="11"/>
      <c r="BN76" s="11"/>
    </row>
    <row r="77" spans="1:66" ht="14.35" customHeight="1" x14ac:dyDescent="0.45">
      <c r="A77" s="29"/>
      <c r="B77" s="8" t="s">
        <v>42</v>
      </c>
      <c r="C77" s="8">
        <v>50</v>
      </c>
      <c r="D77" s="11" t="s">
        <v>105</v>
      </c>
      <c r="E77" s="8">
        <v>50</v>
      </c>
      <c r="F77" s="11" t="s">
        <v>106</v>
      </c>
      <c r="G77" s="8">
        <v>50</v>
      </c>
      <c r="H77" s="11" t="s">
        <v>107</v>
      </c>
      <c r="I77" s="16">
        <v>65</v>
      </c>
      <c r="J77" s="11" t="s">
        <v>157</v>
      </c>
      <c r="K77" s="8" t="s">
        <v>72</v>
      </c>
      <c r="L77" s="11" t="s">
        <v>86</v>
      </c>
      <c r="M77" s="16">
        <v>65</v>
      </c>
      <c r="N77" s="11" t="s">
        <v>157</v>
      </c>
      <c r="O77" s="11"/>
      <c r="P77" s="11"/>
      <c r="Q77" s="11"/>
      <c r="R77" s="11"/>
      <c r="S77" s="26">
        <v>85</v>
      </c>
      <c r="T77" s="11" t="s">
        <v>308</v>
      </c>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8">
        <f t="shared" si="2"/>
        <v>60.833333333333336</v>
      </c>
      <c r="BH77" s="12" t="str" cm="1">
        <f t="array" ref="BH77">_xlfn.TEXTJOIN(" ", TRUE, _xlfn._xlws.FILTER(C77:BF77, MOD(COLUMN(C77:BF77)-COLUMN(BJ77),2)=0))</f>
        <v>SHOWING INTEREST NEED TO PRATICE ANSWERING WELL PERFORMING WELL NEED MOTIVATION NEED MORE PRACTICE CAN DO BETTER  PERFORMING WELL NEED MOTIVATION ABSENT  PERFORMING WELL NEED MOTIVATION INTERESTED IN KRITA PROGRAMMING</v>
      </c>
      <c r="BI77" s="11"/>
      <c r="BJ77" s="11"/>
      <c r="BK77" s="8"/>
      <c r="BL77" s="11"/>
      <c r="BM77" s="11"/>
      <c r="BN77" s="11"/>
    </row>
    <row r="78" spans="1:66" ht="14.35" customHeight="1" x14ac:dyDescent="0.45">
      <c r="A78" s="29"/>
      <c r="B78" s="8" t="s">
        <v>43</v>
      </c>
      <c r="C78" s="8"/>
      <c r="D78" s="11"/>
      <c r="E78" s="8"/>
      <c r="F78" s="11"/>
      <c r="G78" s="16">
        <v>65</v>
      </c>
      <c r="H78" s="11" t="s">
        <v>150</v>
      </c>
      <c r="I78" s="8">
        <v>75</v>
      </c>
      <c r="J78" s="11" t="s">
        <v>131</v>
      </c>
      <c r="K78" s="8"/>
      <c r="L78" s="11"/>
      <c r="M78" s="11"/>
      <c r="N78" s="11" t="s">
        <v>208</v>
      </c>
      <c r="O78" s="11">
        <v>70</v>
      </c>
      <c r="P78" s="11" t="s">
        <v>210</v>
      </c>
      <c r="Q78" s="11"/>
      <c r="R78" s="11"/>
      <c r="S78" s="23">
        <v>80</v>
      </c>
      <c r="T78" s="11" t="s">
        <v>131</v>
      </c>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8">
        <f t="shared" si="2"/>
        <v>72.5</v>
      </c>
      <c r="BH78" s="12" t="str" cm="1">
        <f t="array" ref="BH78">_xlfn.TEXTJOIN(" ", TRUE, _xlfn._xlws.FILTER(C78:BF78, MOD(COLUMN(C78:BF78)-COLUMN(BJ78),2)=0))</f>
        <v>SHOWING VARIATION IN COMPLEX TONE TRYING TO SIMPLIFY THE FIGURE WENT TO PARTICEPATE IN ELOCUTION PERFORMING WELL BUT NEED TO FOLLOW MEASUREMENTS  TRYING TO SIMPLIFY THE FIGURE</v>
      </c>
      <c r="BI78" s="11"/>
      <c r="BJ78" s="11"/>
      <c r="BK78" s="8"/>
      <c r="BL78" s="11"/>
      <c r="BM78" s="11"/>
      <c r="BN78" s="11"/>
    </row>
    <row r="79" spans="1:66" ht="14.35" customHeight="1" x14ac:dyDescent="0.45">
      <c r="A79" s="29"/>
      <c r="B79" s="8" t="s">
        <v>44</v>
      </c>
      <c r="C79" s="8"/>
      <c r="D79" s="11" t="s">
        <v>99</v>
      </c>
      <c r="E79" s="8">
        <v>50</v>
      </c>
      <c r="F79" s="11" t="s">
        <v>97</v>
      </c>
      <c r="G79" s="8">
        <v>50</v>
      </c>
      <c r="H79" s="11" t="s">
        <v>115</v>
      </c>
      <c r="I79" s="8">
        <v>50</v>
      </c>
      <c r="J79" s="11" t="s">
        <v>169</v>
      </c>
      <c r="K79" s="8"/>
      <c r="L79" s="11"/>
      <c r="M79" s="11"/>
      <c r="N79" s="11"/>
      <c r="O79" s="11"/>
      <c r="P79" s="11"/>
      <c r="Q79" s="11"/>
      <c r="R79" s="11"/>
      <c r="S79" s="23">
        <v>80</v>
      </c>
      <c r="T79" s="11" t="s">
        <v>325</v>
      </c>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8">
        <f t="shared" si="2"/>
        <v>57.5</v>
      </c>
      <c r="BH79" s="12" t="str" cm="1">
        <f t="array" ref="BH79">_xlfn.TEXTJOIN(" ", TRUE, _xlfn._xlws.FILTER(C79:BF79, MOD(COLUMN(C79:BF79)-COLUMN(BJ79),2)=0))</f>
        <v>CLASS CANCELLED AVERAGE PERFORMANCE NEED TO IMPROVE READING ABILITY GOOD IN READING NNED TO PAY ATTENTION PREFER TO READ COMIC BOOKS</v>
      </c>
      <c r="BI79" s="11"/>
      <c r="BJ79" s="11"/>
      <c r="BK79" s="8"/>
      <c r="BL79" s="11"/>
      <c r="BM79" s="11"/>
      <c r="BN79" s="11"/>
    </row>
    <row r="80" spans="1:66" ht="14.35" customHeight="1" x14ac:dyDescent="0.45">
      <c r="A80" s="30"/>
      <c r="B80" s="8" t="s">
        <v>45</v>
      </c>
      <c r="C80" s="8"/>
      <c r="D80" s="11"/>
      <c r="E80" s="8"/>
      <c r="F80" s="11"/>
      <c r="G80" s="8"/>
      <c r="H80" s="11"/>
      <c r="I80" s="8"/>
      <c r="J80" s="11"/>
      <c r="K80" s="8"/>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8" t="str">
        <f t="shared" si="2"/>
        <v/>
      </c>
      <c r="BH80" s="12" t="str" cm="1">
        <f t="array" ref="BH80">_xlfn.TEXTJOIN(" ", TRUE, _xlfn._xlws.FILTER(C80:BF80, MOD(COLUMN(C80:BF80)-COLUMN(BJ80),2)=0))</f>
        <v/>
      </c>
      <c r="BI80" s="11"/>
      <c r="BJ80" s="11"/>
      <c r="BK80" s="8"/>
      <c r="BL80" s="11"/>
      <c r="BM80" s="11"/>
      <c r="BN80" s="11"/>
    </row>
    <row r="81" spans="1:66" ht="14.35" customHeight="1" x14ac:dyDescent="0.45">
      <c r="A81" s="28" t="s">
        <v>55</v>
      </c>
      <c r="B81" s="8" t="s">
        <v>40</v>
      </c>
      <c r="C81" s="8"/>
      <c r="D81" s="11"/>
      <c r="E81" s="8"/>
      <c r="F81" s="11"/>
      <c r="G81" s="8"/>
      <c r="H81" s="11"/>
      <c r="I81" s="8"/>
      <c r="J81" s="11"/>
      <c r="K81" s="17">
        <v>55</v>
      </c>
      <c r="L81" s="11" t="s">
        <v>176</v>
      </c>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8">
        <f t="shared" si="2"/>
        <v>55</v>
      </c>
      <c r="BH81" s="12" t="str" cm="1">
        <f t="array" ref="BH81">_xlfn.TEXTJOIN(" ", TRUE, _xlfn._xlws.FILTER(C81:BF81, MOD(COLUMN(C81:BF81)-COLUMN(BJ81),2)=0))</f>
        <v>GOOD IN URDU</v>
      </c>
      <c r="BI81" s="11"/>
      <c r="BJ81" s="11"/>
      <c r="BK81" s="8"/>
      <c r="BL81" s="11"/>
      <c r="BM81" s="11"/>
      <c r="BN81" s="11"/>
    </row>
    <row r="82" spans="1:66" ht="14.35" customHeight="1" x14ac:dyDescent="0.45">
      <c r="A82" s="29"/>
      <c r="B82" s="8" t="s">
        <v>41</v>
      </c>
      <c r="C82" s="8">
        <v>50</v>
      </c>
      <c r="D82" s="11" t="s">
        <v>101</v>
      </c>
      <c r="E82" s="16">
        <v>65</v>
      </c>
      <c r="F82" s="11" t="s">
        <v>102</v>
      </c>
      <c r="G82" s="8">
        <v>75</v>
      </c>
      <c r="H82" s="11" t="s">
        <v>103</v>
      </c>
      <c r="I82" s="18">
        <v>85</v>
      </c>
      <c r="J82" s="11" t="s">
        <v>103</v>
      </c>
      <c r="K82" s="18">
        <v>85</v>
      </c>
      <c r="L82" s="11" t="s">
        <v>186</v>
      </c>
      <c r="M82" s="18">
        <v>85</v>
      </c>
      <c r="N82" s="11" t="s">
        <v>103</v>
      </c>
      <c r="O82" s="11"/>
      <c r="P82" s="11"/>
      <c r="Q82" s="11"/>
      <c r="R82" s="11"/>
      <c r="S82" s="23">
        <v>80</v>
      </c>
      <c r="T82" s="11" t="s">
        <v>267</v>
      </c>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8">
        <f t="shared" si="2"/>
        <v>75</v>
      </c>
      <c r="BH82" s="12" t="str" cm="1">
        <f t="array" ref="BH82">_xlfn.TEXTJOIN(" ", TRUE, _xlfn._xlws.FILTER(C82:BF82, MOD(COLUMN(C82:BF82)-COLUMN(BJ82),2)=0))</f>
        <v>GOOD IN PLAYING FOOTBALL GOOD IN PLAYING SHUTTLE PLAYING WELL SHUTTLE PLAYING WELL SHUTTLE INTERESTED IN CEICKET PLAYING WELL SHUTTLE INTERESTED IN CRICKET,FOOTBALL</v>
      </c>
      <c r="BI82" s="11"/>
      <c r="BJ82" s="11"/>
      <c r="BK82" s="8"/>
      <c r="BL82" s="11"/>
      <c r="BM82" s="11"/>
      <c r="BN82" s="11"/>
    </row>
    <row r="83" spans="1:66" ht="14.35" customHeight="1" x14ac:dyDescent="0.45">
      <c r="A83" s="29"/>
      <c r="B83" s="8" t="s">
        <v>42</v>
      </c>
      <c r="C83" s="8">
        <v>50</v>
      </c>
      <c r="D83" s="11" t="s">
        <v>105</v>
      </c>
      <c r="E83" s="8">
        <v>50</v>
      </c>
      <c r="F83" s="11" t="s">
        <v>106</v>
      </c>
      <c r="G83" s="8">
        <v>50</v>
      </c>
      <c r="H83" s="11" t="s">
        <v>107</v>
      </c>
      <c r="I83" s="16">
        <v>65</v>
      </c>
      <c r="J83" s="11" t="s">
        <v>157</v>
      </c>
      <c r="K83" s="18">
        <v>85</v>
      </c>
      <c r="L83" s="11" t="s">
        <v>187</v>
      </c>
      <c r="M83" s="16">
        <v>65</v>
      </c>
      <c r="N83" s="11" t="s">
        <v>157</v>
      </c>
      <c r="O83" s="11"/>
      <c r="P83" s="11"/>
      <c r="Q83" s="11"/>
      <c r="R83" s="11"/>
      <c r="S83" s="11">
        <v>75</v>
      </c>
      <c r="T83" s="11" t="s">
        <v>265</v>
      </c>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8">
        <f t="shared" si="2"/>
        <v>62.857142857142854</v>
      </c>
      <c r="BH83" s="12" t="str" cm="1">
        <f t="array" ref="BH83">_xlfn.TEXTJOIN(" ", TRUE, _xlfn._xlws.FILTER(C83:BF83, MOD(COLUMN(C83:BF83)-COLUMN(BJ83),2)=0))</f>
        <v>SHOWING INTEREST NEED TO PRATICE ANSWERING WELL PERFORMING WELL NEED MOTIVATION NEED MORE PRACTICE CAN DO BETTER  PERFORMING WELL NEED MOTIVATION INTERESTED IN GAMING , TYPING IN COMPUTER  PERFORMING WELL NEED MOTIVATION BASIC SKILL LIKE TYPING</v>
      </c>
      <c r="BI83" s="11"/>
      <c r="BJ83" s="11"/>
      <c r="BK83" s="8"/>
      <c r="BL83" s="11"/>
      <c r="BM83" s="11"/>
      <c r="BN83" s="11"/>
    </row>
    <row r="84" spans="1:66" ht="14.35" customHeight="1" x14ac:dyDescent="0.45">
      <c r="A84" s="29"/>
      <c r="B84" s="8" t="s">
        <v>43</v>
      </c>
      <c r="C84" s="16">
        <v>65</v>
      </c>
      <c r="D84" s="11" t="s">
        <v>79</v>
      </c>
      <c r="E84" s="8">
        <v>50</v>
      </c>
      <c r="F84" s="11" t="s">
        <v>131</v>
      </c>
      <c r="G84" s="16">
        <v>65</v>
      </c>
      <c r="H84" s="11" t="s">
        <v>144</v>
      </c>
      <c r="I84" s="8">
        <v>75</v>
      </c>
      <c r="J84" s="11" t="s">
        <v>140</v>
      </c>
      <c r="K84" s="8">
        <v>75</v>
      </c>
      <c r="L84" s="11" t="s">
        <v>188</v>
      </c>
      <c r="M84" s="11">
        <v>75</v>
      </c>
      <c r="N84" s="11" t="s">
        <v>200</v>
      </c>
      <c r="O84" s="11">
        <v>70</v>
      </c>
      <c r="P84" s="11" t="s">
        <v>219</v>
      </c>
      <c r="Q84" s="11"/>
      <c r="R84" s="11"/>
      <c r="S84" s="11">
        <v>75</v>
      </c>
      <c r="T84" s="11" t="s">
        <v>133</v>
      </c>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8">
        <f t="shared" si="2"/>
        <v>68.75</v>
      </c>
      <c r="BH84" s="12" t="str" cm="1">
        <f t="array" ref="BH84">_xlfn.TEXTJOIN(" ", TRUE, _xlfn._xlws.FILTER(C84:BF84, MOD(COLUMN(C84:BF84)-COLUMN(BJ84),2)=0))</f>
        <v>DOING GOOD ,NEED TO PAY ATTENTION IN THE CLASS TRYING TO SIMPLIFY THE FIGURE DEVELOPING VOLUME AND DEPTH  OF THE FIGURE SIMPLIFYING THE CONTOUR WELL INTERESTED IN DRAWING VERY ATTENTIVE IN THE CLASS DRAWING WELL  SHOWING PROGRESS IN THE DRAWING GOOD IN VISUAL COMPONENTS</v>
      </c>
      <c r="BI84" s="11"/>
      <c r="BJ84" s="11"/>
      <c r="BK84" s="8"/>
      <c r="BL84" s="11"/>
      <c r="BM84" s="11"/>
      <c r="BN84" s="11"/>
    </row>
    <row r="85" spans="1:66" ht="14.35" customHeight="1" x14ac:dyDescent="0.45">
      <c r="A85" s="29"/>
      <c r="B85" s="8" t="s">
        <v>44</v>
      </c>
      <c r="C85" s="8"/>
      <c r="D85" s="11" t="s">
        <v>99</v>
      </c>
      <c r="E85" s="8">
        <v>50</v>
      </c>
      <c r="F85" s="11" t="s">
        <v>97</v>
      </c>
      <c r="G85" s="8">
        <v>50</v>
      </c>
      <c r="H85" s="11" t="s">
        <v>115</v>
      </c>
      <c r="I85" s="8">
        <v>50</v>
      </c>
      <c r="J85" s="11" t="s">
        <v>168</v>
      </c>
      <c r="K85" s="8">
        <v>75</v>
      </c>
      <c r="L85" s="11" t="s">
        <v>197</v>
      </c>
      <c r="M85" s="11"/>
      <c r="N85" s="11"/>
      <c r="O85" s="11"/>
      <c r="P85" s="11"/>
      <c r="Q85" s="11" t="s">
        <v>72</v>
      </c>
      <c r="R85" s="11" t="s">
        <v>72</v>
      </c>
      <c r="S85" s="25">
        <v>65</v>
      </c>
      <c r="T85" s="11" t="s">
        <v>268</v>
      </c>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8">
        <f t="shared" si="2"/>
        <v>58</v>
      </c>
      <c r="BH85" s="12" t="str" cm="1">
        <f t="array" ref="BH85">_xlfn.TEXTJOIN(" ", TRUE, _xlfn._xlws.FILTER(C85:BF85, MOD(COLUMN(C85:BF85)-COLUMN(BJ85),2)=0))</f>
        <v>CLASS CANCELLED AVERAGE PERFORMANCE NEED TO IMPROVE READING ABILITY GOOD IN READING NEED TO CONCENTRATE INTERESTED IN MORAL BOOKS AB RANDOM BOOKS READING NOT SHOWING MUCH INTEREST</v>
      </c>
      <c r="BI85" s="11"/>
      <c r="BJ85" s="11"/>
      <c r="BK85" s="8"/>
      <c r="BL85" s="11"/>
      <c r="BM85" s="11"/>
      <c r="BN85" s="11"/>
    </row>
    <row r="86" spans="1:66" ht="14.35" customHeight="1" x14ac:dyDescent="0.45">
      <c r="A86" s="30"/>
      <c r="B86" s="8" t="s">
        <v>45</v>
      </c>
      <c r="C86" s="8"/>
      <c r="D86" s="11"/>
      <c r="E86" s="8"/>
      <c r="F86" s="11"/>
      <c r="G86" s="8"/>
      <c r="H86" s="11"/>
      <c r="I86" s="8"/>
      <c r="J86" s="11"/>
      <c r="K86" s="8"/>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8" t="str">
        <f>IFERROR(AVERAGEIF(C86:BD86,"&lt;&gt;nill"), "")</f>
        <v/>
      </c>
      <c r="BG86" s="12" t="str" cm="1">
        <f t="array" ref="BG86">_xlfn.TEXTJOIN(" ", TRUE, _xlfn._xlws.FILTER(C86:BE86, MOD(COLUMN(C86:BE86)-COLUMN(BI86),2)=0))</f>
        <v/>
      </c>
      <c r="BH86" s="11"/>
      <c r="BI86" s="11"/>
      <c r="BJ86" s="8"/>
      <c r="BK86" s="11"/>
      <c r="BL86" s="11"/>
      <c r="BM86" s="11"/>
    </row>
    <row r="87" spans="1:66" ht="14.35" customHeight="1" x14ac:dyDescent="0.45">
      <c r="A87" s="28" t="s">
        <v>56</v>
      </c>
      <c r="B87" s="8" t="s">
        <v>40</v>
      </c>
      <c r="C87" s="8"/>
      <c r="D87" s="11"/>
      <c r="E87" s="8"/>
      <c r="F87" s="11"/>
      <c r="G87" s="8"/>
      <c r="H87" s="11"/>
      <c r="I87" s="8"/>
      <c r="J87" s="11"/>
      <c r="K87" s="8">
        <v>33</v>
      </c>
      <c r="L87" s="11" t="s">
        <v>175</v>
      </c>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8">
        <f t="shared" si="2"/>
        <v>33</v>
      </c>
      <c r="BH87" s="12" t="str" cm="1">
        <f t="array" ref="BH87">_xlfn.TEXTJOIN(" ", TRUE, _xlfn._xlws.FILTER(C87:BF87, MOD(COLUMN(C87:BF87)-COLUMN(BJ87),2)=0))</f>
        <v>AVERAGE PERFORMANCE IN STUIDIES</v>
      </c>
      <c r="BI87" s="11"/>
      <c r="BJ87" s="11"/>
      <c r="BK87" s="8"/>
      <c r="BL87" s="11"/>
      <c r="BM87" s="11"/>
      <c r="BN87" s="11"/>
    </row>
    <row r="88" spans="1:66" ht="14.35" customHeight="1" x14ac:dyDescent="0.45">
      <c r="A88" s="29"/>
      <c r="B88" s="8" t="s">
        <v>41</v>
      </c>
      <c r="C88" s="8">
        <v>50</v>
      </c>
      <c r="D88" s="11" t="s">
        <v>101</v>
      </c>
      <c r="E88" s="16">
        <v>65</v>
      </c>
      <c r="F88" s="11" t="s">
        <v>102</v>
      </c>
      <c r="G88" s="8">
        <v>75</v>
      </c>
      <c r="H88" s="11" t="s">
        <v>103</v>
      </c>
      <c r="I88" s="18">
        <v>85</v>
      </c>
      <c r="J88" s="11" t="s">
        <v>103</v>
      </c>
      <c r="K88" s="8">
        <v>75</v>
      </c>
      <c r="L88" s="11" t="s">
        <v>186</v>
      </c>
      <c r="M88" s="18">
        <v>85</v>
      </c>
      <c r="N88" s="11" t="s">
        <v>103</v>
      </c>
      <c r="O88" s="11"/>
      <c r="P88" s="11"/>
      <c r="Q88" s="11"/>
      <c r="R88" s="11"/>
      <c r="S88" s="23">
        <v>80</v>
      </c>
      <c r="T88" s="11" t="s">
        <v>317</v>
      </c>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8">
        <f t="shared" si="2"/>
        <v>73.571428571428569</v>
      </c>
      <c r="BH88" s="12" t="str" cm="1">
        <f t="array" ref="BH88">_xlfn.TEXTJOIN(" ", TRUE, _xlfn._xlws.FILTER(C88:BF88, MOD(COLUMN(C88:BF88)-COLUMN(BJ88),2)=0))</f>
        <v>GOOD IN PLAYING FOOTBALL GOOD IN PLAYING SHUTTLE PLAYING WELL SHUTTLE PLAYING WELL SHUTTLE INTERESTED IN CEICKET PLAYING WELL SHUTTLE INTETRESTED IN FOOTBALL,CRICKET</v>
      </c>
      <c r="BI88" s="11"/>
      <c r="BJ88" s="11"/>
      <c r="BK88" s="8"/>
      <c r="BL88" s="11"/>
      <c r="BM88" s="11"/>
      <c r="BN88" s="11"/>
    </row>
    <row r="89" spans="1:66" ht="14.35" customHeight="1" x14ac:dyDescent="0.45">
      <c r="A89" s="29"/>
      <c r="B89" s="8" t="s">
        <v>42</v>
      </c>
      <c r="C89" s="8">
        <v>50</v>
      </c>
      <c r="D89" s="11" t="s">
        <v>105</v>
      </c>
      <c r="E89" s="8">
        <v>50</v>
      </c>
      <c r="F89" s="11" t="s">
        <v>106</v>
      </c>
      <c r="G89" s="8">
        <v>50</v>
      </c>
      <c r="H89" s="11" t="s">
        <v>107</v>
      </c>
      <c r="I89" s="16">
        <v>65</v>
      </c>
      <c r="J89" s="11" t="s">
        <v>157</v>
      </c>
      <c r="K89" s="18">
        <v>85</v>
      </c>
      <c r="L89" s="11" t="s">
        <v>187</v>
      </c>
      <c r="M89" s="16">
        <v>65</v>
      </c>
      <c r="N89" s="11" t="s">
        <v>157</v>
      </c>
      <c r="O89" s="11"/>
      <c r="P89" s="11"/>
      <c r="Q89" s="11"/>
      <c r="R89" s="11"/>
      <c r="S89" s="23">
        <v>80</v>
      </c>
      <c r="T89" s="11" t="s">
        <v>316</v>
      </c>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8">
        <f t="shared" si="2"/>
        <v>63.571428571428569</v>
      </c>
      <c r="BH89" s="12" t="str" cm="1">
        <f t="array" ref="BH89">_xlfn.TEXTJOIN(" ", TRUE, _xlfn._xlws.FILTER(C89:BF89, MOD(COLUMN(C89:BF89)-COLUMN(BJ89),2)=0))</f>
        <v>SHOWING INTEREST NEED TO PRATICE ANSWERING WELL PERFORMING WELL NEED MOTIVATION NEED MORE PRACTICE CAN DO BETTER  PERFORMING WELL NEED MOTIVATION INTERESTED IN GAMING , TYPING IN COMPUTER  PERFORMING WELL NEED MOTIVATION BASIC SKILLS LIKE TY[ING&amp;DRAWING</v>
      </c>
      <c r="BI89" s="11"/>
      <c r="BJ89" s="11"/>
      <c r="BK89" s="8"/>
      <c r="BL89" s="11"/>
      <c r="BM89" s="11"/>
      <c r="BN89" s="11"/>
    </row>
    <row r="90" spans="1:66" ht="14.35" customHeight="1" x14ac:dyDescent="0.45">
      <c r="A90" s="29"/>
      <c r="B90" s="8" t="s">
        <v>43</v>
      </c>
      <c r="C90" s="8">
        <v>25</v>
      </c>
      <c r="D90" s="11" t="s">
        <v>78</v>
      </c>
      <c r="E90" s="17">
        <v>35</v>
      </c>
      <c r="F90" s="11" t="s">
        <v>91</v>
      </c>
      <c r="G90" s="8">
        <v>75</v>
      </c>
      <c r="H90" s="11" t="s">
        <v>142</v>
      </c>
      <c r="I90" s="16">
        <v>65</v>
      </c>
      <c r="J90" s="11" t="s">
        <v>167</v>
      </c>
      <c r="K90" s="8"/>
      <c r="L90" s="11"/>
      <c r="M90" s="11" t="s">
        <v>72</v>
      </c>
      <c r="N90" s="11" t="s">
        <v>72</v>
      </c>
      <c r="O90" s="11">
        <v>70</v>
      </c>
      <c r="P90" s="11" t="s">
        <v>216</v>
      </c>
      <c r="Q90" s="11"/>
      <c r="R90" s="11"/>
      <c r="S90" s="26">
        <v>85</v>
      </c>
      <c r="T90" s="11" t="s">
        <v>315</v>
      </c>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8">
        <f t="shared" si="2"/>
        <v>59.166666666666664</v>
      </c>
      <c r="BH90" s="12" t="str" cm="1">
        <f t="array" ref="BH90">_xlfn.TEXTJOIN(" ", TRUE, _xlfn._xlws.FILTER(C90:BF90, MOD(COLUMN(C90:BF90)-COLUMN(BJ90),2)=0))</f>
        <v xml:space="preserve"> JUST PARTICIPATING IN THE CLASS JUST PARTICIPATING ILLUMINATING THE SHADOWED AREA OF THE OBJECT NEED PRACTICE CAN DO BETTER AB NEED TO CORRECT THE CURVES DEVELOPING FINE MOTOR SKILLS</v>
      </c>
      <c r="BI90" s="11"/>
      <c r="BJ90" s="11"/>
      <c r="BK90" s="8"/>
      <c r="BL90" s="11"/>
      <c r="BM90" s="11"/>
      <c r="BN90" s="11"/>
    </row>
    <row r="91" spans="1:66" ht="14.35" customHeight="1" x14ac:dyDescent="0.45">
      <c r="A91" s="29"/>
      <c r="B91" s="8" t="s">
        <v>44</v>
      </c>
      <c r="C91" s="8"/>
      <c r="D91" s="11" t="s">
        <v>99</v>
      </c>
      <c r="E91" s="8">
        <v>50</v>
      </c>
      <c r="F91" s="11" t="s">
        <v>97</v>
      </c>
      <c r="G91" s="8">
        <v>50</v>
      </c>
      <c r="H91" s="11" t="s">
        <v>120</v>
      </c>
      <c r="I91" s="8">
        <v>50</v>
      </c>
      <c r="J91" s="11" t="s">
        <v>108</v>
      </c>
      <c r="K91" s="18">
        <v>85</v>
      </c>
      <c r="L91" s="11" t="s">
        <v>189</v>
      </c>
      <c r="M91" s="11"/>
      <c r="N91" s="11"/>
      <c r="O91" s="11"/>
      <c r="P91" s="11"/>
      <c r="Q91" s="11"/>
      <c r="R91" s="11"/>
      <c r="S91" s="26">
        <v>85</v>
      </c>
      <c r="T91" s="11" t="s">
        <v>314</v>
      </c>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8">
        <f t="shared" si="2"/>
        <v>64</v>
      </c>
      <c r="BH91" s="12" t="str" cm="1">
        <f t="array" ref="BH91">_xlfn.TEXTJOIN(" ", TRUE, _xlfn._xlws.FILTER(C91:BF91, MOD(COLUMN(C91:BF91)-COLUMN(BJ91),2)=0))</f>
        <v>CLASS CANCELLED AVERAGE PERFORMANCE GOOD IN READING CAN IMPROVE GOOD IN READING INTERESTED IN STORY BOOKS PREFER TO READ MORAL STORIES HAVING A HABIT OF READING BOOKS AT HOME ALSO</v>
      </c>
      <c r="BI91" s="11"/>
      <c r="BJ91" s="11"/>
      <c r="BK91" s="8"/>
      <c r="BL91" s="11"/>
      <c r="BM91" s="11"/>
      <c r="BN91" s="11"/>
    </row>
    <row r="92" spans="1:66" ht="14.35" customHeight="1" x14ac:dyDescent="0.45">
      <c r="A92" s="30"/>
      <c r="B92" s="8" t="s">
        <v>45</v>
      </c>
      <c r="C92" s="8"/>
      <c r="D92" s="11"/>
      <c r="E92" s="8"/>
      <c r="F92" s="11"/>
      <c r="G92" s="8"/>
      <c r="H92" s="11"/>
      <c r="I92" s="8"/>
      <c r="J92" s="11"/>
      <c r="K92" s="8"/>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8" t="str">
        <f t="shared" si="2"/>
        <v/>
      </c>
      <c r="BH92" s="12" t="str" cm="1">
        <f t="array" ref="BH92">_xlfn.TEXTJOIN(" ", TRUE, _xlfn._xlws.FILTER(C92:BF92, MOD(COLUMN(C92:BF92)-COLUMN(BJ92),2)=0))</f>
        <v/>
      </c>
      <c r="BI92" s="11"/>
      <c r="BJ92" s="11"/>
      <c r="BK92" s="8"/>
      <c r="BL92" s="11"/>
      <c r="BM92" s="11"/>
      <c r="BN92" s="11"/>
    </row>
    <row r="93" spans="1:66" ht="14.35" customHeight="1" x14ac:dyDescent="0.45">
      <c r="A93" s="28" t="s">
        <v>57</v>
      </c>
      <c r="B93" s="8" t="s">
        <v>40</v>
      </c>
      <c r="C93" s="8"/>
      <c r="D93" s="11"/>
      <c r="E93" s="8"/>
      <c r="F93" s="11"/>
      <c r="G93" s="8"/>
      <c r="H93" s="11"/>
      <c r="I93" s="8"/>
      <c r="J93" s="11"/>
      <c r="K93" s="17">
        <v>90</v>
      </c>
      <c r="L93" s="11" t="s">
        <v>184</v>
      </c>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8">
        <f t="shared" si="2"/>
        <v>90</v>
      </c>
      <c r="BH93" s="12" t="str" cm="1">
        <f t="array" ref="BH93">_xlfn.TEXTJOIN(" ", TRUE, _xlfn._xlws.FILTER(C93:BF93, MOD(COLUMN(C93:BF93)-COLUMN(BJ93),2)=0))</f>
        <v>GOOD IN URDU,MATHEMATICS&amp;SOCIAL</v>
      </c>
      <c r="BI93" s="11"/>
      <c r="BJ93" s="11"/>
      <c r="BK93" s="8"/>
      <c r="BL93" s="11"/>
      <c r="BM93" s="11"/>
      <c r="BN93" s="11"/>
    </row>
    <row r="94" spans="1:66" ht="14.35" customHeight="1" x14ac:dyDescent="0.45">
      <c r="A94" s="29"/>
      <c r="B94" s="8" t="s">
        <v>41</v>
      </c>
      <c r="C94" s="8">
        <v>50</v>
      </c>
      <c r="D94" s="11" t="s">
        <v>101</v>
      </c>
      <c r="E94" s="16">
        <v>65</v>
      </c>
      <c r="F94" s="11" t="s">
        <v>102</v>
      </c>
      <c r="G94" s="8">
        <v>75</v>
      </c>
      <c r="H94" s="11" t="s">
        <v>103</v>
      </c>
      <c r="I94" s="18">
        <v>85</v>
      </c>
      <c r="J94" s="11" t="s">
        <v>103</v>
      </c>
      <c r="K94" s="18">
        <v>85</v>
      </c>
      <c r="L94" s="11" t="s">
        <v>186</v>
      </c>
      <c r="M94" s="18">
        <v>85</v>
      </c>
      <c r="N94" s="11" t="s">
        <v>103</v>
      </c>
      <c r="O94" s="11"/>
      <c r="P94" s="11"/>
      <c r="Q94" s="11"/>
      <c r="R94" s="11"/>
      <c r="S94" s="24">
        <v>90</v>
      </c>
      <c r="T94" s="11" t="s">
        <v>264</v>
      </c>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8">
        <f t="shared" si="2"/>
        <v>76.428571428571431</v>
      </c>
      <c r="BH94" s="12" t="str" cm="1">
        <f t="array" ref="BH94">_xlfn.TEXTJOIN(" ", TRUE, _xlfn._xlws.FILTER(C94:BF94, MOD(COLUMN(C94:BF94)-COLUMN(BJ94),2)=0))</f>
        <v>GOOD IN PLAYING FOOTBALL GOOD IN PLAYING SHUTTLE PLAYING WELL SHUTTLE PLAYING WELL SHUTTLE INTERESTED IN CEICKET PLAYING WELL SHUTTLE INTERESTED IN CRICKET,FOOTBALL,RUNNING.PARTICIPATED IN 100METERS,200METERS RACE.WON 2ND PRIZE IN 200METERS RACE</v>
      </c>
      <c r="BI94" s="11"/>
      <c r="BJ94" s="11"/>
      <c r="BK94" s="8"/>
      <c r="BL94" s="11"/>
      <c r="BM94" s="11"/>
      <c r="BN94" s="11"/>
    </row>
    <row r="95" spans="1:66" ht="14.35" customHeight="1" x14ac:dyDescent="0.45">
      <c r="A95" s="29"/>
      <c r="B95" s="8" t="s">
        <v>42</v>
      </c>
      <c r="C95" s="8">
        <v>50</v>
      </c>
      <c r="D95" s="11" t="s">
        <v>105</v>
      </c>
      <c r="E95" s="8">
        <v>50</v>
      </c>
      <c r="F95" s="11" t="s">
        <v>106</v>
      </c>
      <c r="G95" s="8">
        <v>50</v>
      </c>
      <c r="H95" s="11" t="s">
        <v>107</v>
      </c>
      <c r="I95" s="16">
        <v>65</v>
      </c>
      <c r="J95" s="11" t="s">
        <v>157</v>
      </c>
      <c r="K95" s="18">
        <v>85</v>
      </c>
      <c r="L95" s="11" t="s">
        <v>187</v>
      </c>
      <c r="M95" s="16">
        <v>65</v>
      </c>
      <c r="N95" s="11" t="s">
        <v>157</v>
      </c>
      <c r="O95" s="11"/>
      <c r="P95" s="11"/>
      <c r="Q95" s="11"/>
      <c r="R95" s="11"/>
      <c r="S95" s="11">
        <v>75</v>
      </c>
      <c r="T95" s="11" t="s">
        <v>265</v>
      </c>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8">
        <f t="shared" si="2"/>
        <v>62.857142857142854</v>
      </c>
      <c r="BH95" s="12" t="str" cm="1">
        <f t="array" ref="BH95">_xlfn.TEXTJOIN(" ", TRUE, _xlfn._xlws.FILTER(C95:BF95, MOD(COLUMN(C95:BF95)-COLUMN(BJ95),2)=0))</f>
        <v>SHOWING INTEREST NEED TO PRATICE ANSWERING WELL PERFORMING WELL NEED MOTIVATION NEED MORE PRACTICE CAN DO BETTER  PERFORMING WELL NEED MOTIVATION INTERESTED IN GAMING , TYPING IN COMPUTER  PERFORMING WELL NEED MOTIVATION BASIC SKILL LIKE TYPING</v>
      </c>
      <c r="BI95" s="11"/>
      <c r="BJ95" s="11"/>
      <c r="BK95" s="8"/>
      <c r="BL95" s="11"/>
      <c r="BM95" s="11"/>
      <c r="BN95" s="11"/>
    </row>
    <row r="96" spans="1:66" ht="14.35" customHeight="1" x14ac:dyDescent="0.45">
      <c r="A96" s="29"/>
      <c r="B96" s="8" t="s">
        <v>43</v>
      </c>
      <c r="C96" s="8">
        <v>25</v>
      </c>
      <c r="D96" s="11" t="s">
        <v>77</v>
      </c>
      <c r="E96" s="8">
        <v>50</v>
      </c>
      <c r="F96" s="11" t="s">
        <v>100</v>
      </c>
      <c r="G96" s="16">
        <v>65</v>
      </c>
      <c r="H96" s="11" t="s">
        <v>146</v>
      </c>
      <c r="I96" s="16">
        <v>65</v>
      </c>
      <c r="J96" s="11" t="s">
        <v>166</v>
      </c>
      <c r="K96" s="8">
        <v>75</v>
      </c>
      <c r="L96" s="11" t="s">
        <v>188</v>
      </c>
      <c r="M96" s="19">
        <v>95</v>
      </c>
      <c r="N96" s="11" t="s">
        <v>199</v>
      </c>
      <c r="O96" s="11">
        <v>90</v>
      </c>
      <c r="P96" s="11" t="s">
        <v>217</v>
      </c>
      <c r="Q96" s="11"/>
      <c r="R96" s="11"/>
      <c r="S96" s="23">
        <v>80</v>
      </c>
      <c r="T96" s="11" t="s">
        <v>266</v>
      </c>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8">
        <f t="shared" si="2"/>
        <v>68.125</v>
      </c>
      <c r="BH96" s="12" t="str" cm="1">
        <f t="array" ref="BH96">_xlfn.TEXTJOIN(" ", TRUE, _xlfn._xlws.FILTER(C96:BF96, MOD(COLUMN(C96:BF96)-COLUMN(BJ96),2)=0))</f>
        <v>NEUTRAL PARTICIPATION TRYING HIS BEST TO COMPLETE THE TASK USING SMALL CIRCULAR STROKES  DOING WELL NEED PRACTICE INTERESTED IN DRAWING DRAWING VERY REALISTI , DETALING IS GOOD  SHOWING CLEAR DETALING FOLLOWING CORRECT MEASUREMENT DEVELOPING A  STRONG STYLE IN THE WORK</v>
      </c>
      <c r="BI96" s="11"/>
      <c r="BJ96" s="11"/>
      <c r="BK96" s="8"/>
      <c r="BL96" s="11"/>
      <c r="BM96" s="11"/>
      <c r="BN96" s="11"/>
    </row>
    <row r="97" spans="1:67" ht="14.35" customHeight="1" x14ac:dyDescent="0.45">
      <c r="A97" s="29"/>
      <c r="B97" s="8" t="s">
        <v>44</v>
      </c>
      <c r="C97" s="8"/>
      <c r="D97" s="11" t="s">
        <v>99</v>
      </c>
      <c r="E97" s="8">
        <v>50</v>
      </c>
      <c r="F97" s="11" t="s">
        <v>97</v>
      </c>
      <c r="G97" s="8">
        <v>50</v>
      </c>
      <c r="H97" s="11" t="s">
        <v>121</v>
      </c>
      <c r="I97" s="8">
        <v>25</v>
      </c>
      <c r="J97" s="11" t="s">
        <v>170</v>
      </c>
      <c r="K97" s="8"/>
      <c r="L97" s="11"/>
      <c r="M97" s="11"/>
      <c r="N97" s="11"/>
      <c r="O97" s="11"/>
      <c r="P97" s="11"/>
      <c r="Q97" s="11">
        <v>50</v>
      </c>
      <c r="R97" s="11" t="s">
        <v>236</v>
      </c>
      <c r="S97" s="11">
        <v>75</v>
      </c>
      <c r="T97" s="11" t="s">
        <v>110</v>
      </c>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8">
        <f t="shared" si="2"/>
        <v>50</v>
      </c>
      <c r="BH97" s="12" t="str" cm="1">
        <f t="array" ref="BH97">_xlfn.TEXTJOIN(" ", TRUE, _xlfn._xlws.FILTER(C97:BF97, MOD(COLUMN(C97:BF97)-COLUMN(BJ97),2)=0))</f>
        <v>CLASS CANCELLED AVERAGE PERFORMANCE NEED MOTIVATION GOOD IN READING NEUTRAL PARTCIPATION TRYING TO FIGURE OUT THE STORY,BUT NEED TO BUILD UP THE STORY LINES PROPERLY INTERESTED IN MORAL STORIES</v>
      </c>
      <c r="BI97" s="11"/>
      <c r="BJ97" s="11"/>
      <c r="BK97" s="8"/>
      <c r="BL97" s="11"/>
      <c r="BM97" s="11"/>
      <c r="BN97" s="11"/>
    </row>
    <row r="98" spans="1:67" ht="14.35" customHeight="1" x14ac:dyDescent="0.45">
      <c r="A98" s="30"/>
      <c r="B98" s="8" t="s">
        <v>45</v>
      </c>
      <c r="C98" s="8"/>
      <c r="D98" s="11"/>
      <c r="E98" s="8"/>
      <c r="F98" s="11"/>
      <c r="G98" s="8"/>
      <c r="H98" s="11"/>
      <c r="I98" s="8"/>
      <c r="J98" s="11"/>
      <c r="K98" s="8"/>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8" t="str">
        <f>IFERROR(AVERAGEIF(C98:BF98,"&lt;&gt;nill"), "")</f>
        <v/>
      </c>
      <c r="BI98" s="12" t="str" cm="1">
        <f t="array" ref="BI98">_xlfn.TEXTJOIN(" ", TRUE, _xlfn._xlws.FILTER(C98:BG98, MOD(COLUMN(C98:BG98)-COLUMN(BK98),2)=0))</f>
        <v/>
      </c>
      <c r="BJ98" s="11"/>
      <c r="BK98" s="11"/>
      <c r="BL98" s="8"/>
      <c r="BM98" s="11"/>
      <c r="BN98" s="11"/>
      <c r="BO98" s="11"/>
    </row>
    <row r="99" spans="1:67" ht="14.35" customHeight="1" x14ac:dyDescent="0.45">
      <c r="A99" s="28" t="s">
        <v>58</v>
      </c>
      <c r="B99" s="8" t="s">
        <v>40</v>
      </c>
      <c r="C99" s="8"/>
      <c r="D99" s="11"/>
      <c r="E99" s="8"/>
      <c r="F99" s="11"/>
      <c r="G99" s="8"/>
      <c r="H99" s="11"/>
      <c r="I99" s="8"/>
      <c r="J99" s="11"/>
      <c r="K99" s="17">
        <v>45</v>
      </c>
      <c r="L99" s="11" t="s">
        <v>175</v>
      </c>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8">
        <f>IFERROR(AVERAGEIF(C99:BF99,"&lt;&gt;nill"), "")</f>
        <v>45</v>
      </c>
      <c r="BI99" s="12" t="str" cm="1">
        <f t="array" ref="BI99">_xlfn.TEXTJOIN(" ", TRUE, _xlfn._xlws.FILTER(C99:BG99, MOD(COLUMN(C99:BG99)-COLUMN(BK99),2)=0))</f>
        <v>45</v>
      </c>
      <c r="BJ99" s="11"/>
      <c r="BK99" s="11"/>
      <c r="BL99" s="8"/>
      <c r="BM99" s="11"/>
      <c r="BN99" s="11"/>
      <c r="BO99" s="11"/>
    </row>
    <row r="100" spans="1:67" ht="14.35" customHeight="1" x14ac:dyDescent="0.45">
      <c r="A100" s="29"/>
      <c r="B100" s="8" t="s">
        <v>41</v>
      </c>
      <c r="C100" s="8">
        <v>50</v>
      </c>
      <c r="D100" s="11" t="s">
        <v>101</v>
      </c>
      <c r="E100" s="16">
        <v>65</v>
      </c>
      <c r="F100" s="11" t="s">
        <v>102</v>
      </c>
      <c r="G100" s="8">
        <v>75</v>
      </c>
      <c r="H100" s="11" t="s">
        <v>103</v>
      </c>
      <c r="I100" s="18">
        <v>85</v>
      </c>
      <c r="J100" s="11" t="s">
        <v>103</v>
      </c>
      <c r="K100" s="18">
        <v>85</v>
      </c>
      <c r="L100" s="11" t="s">
        <v>190</v>
      </c>
      <c r="M100" s="18">
        <v>85</v>
      </c>
      <c r="N100" s="11" t="s">
        <v>103</v>
      </c>
      <c r="O100" s="11"/>
      <c r="P100" s="11"/>
      <c r="Q100" s="11"/>
      <c r="R100" s="11"/>
      <c r="S100" s="26">
        <v>85</v>
      </c>
      <c r="T100" s="11" t="s">
        <v>310</v>
      </c>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8">
        <f t="shared" ref="BG100:BG163" si="3">IFERROR(AVERAGEIF(C100:BE100,"&lt;&gt;nill"), "")</f>
        <v>75.714285714285708</v>
      </c>
      <c r="BH100" s="12" t="str" cm="1">
        <f t="array" ref="BH100">_xlfn.TEXTJOIN(" ", TRUE, _xlfn._xlws.FILTER(C100:BF100, MOD(COLUMN(C100:BF100)-COLUMN(BJ100),2)=0))</f>
        <v>GOOD IN PLAYING FOOTBALL GOOD IN PLAYING SHUTTLE PLAYING WELL SHUTTLE PLAYING WELL SHUTTLE INTERESTED IN KHO-KHO PLAYING WELL SHUTTLE INTERESTED IN FOOTBALL,CRICKET, PARTICIPATED IN RUNNING RACE</v>
      </c>
      <c r="BI100" s="11"/>
      <c r="BJ100" s="11"/>
      <c r="BK100" s="8"/>
      <c r="BL100" s="11"/>
      <c r="BM100" s="11"/>
      <c r="BN100" s="11"/>
    </row>
    <row r="101" spans="1:67" ht="14.35" customHeight="1" x14ac:dyDescent="0.45">
      <c r="A101" s="29"/>
      <c r="B101" s="8" t="s">
        <v>42</v>
      </c>
      <c r="C101" s="8">
        <v>50</v>
      </c>
      <c r="D101" s="11" t="s">
        <v>105</v>
      </c>
      <c r="E101" s="8">
        <v>50</v>
      </c>
      <c r="F101" s="11" t="s">
        <v>106</v>
      </c>
      <c r="G101" s="8">
        <v>50</v>
      </c>
      <c r="H101" s="11" t="s">
        <v>107</v>
      </c>
      <c r="I101" s="16">
        <v>65</v>
      </c>
      <c r="J101" s="11" t="s">
        <v>157</v>
      </c>
      <c r="K101" s="18">
        <v>85</v>
      </c>
      <c r="L101" s="11" t="s">
        <v>187</v>
      </c>
      <c r="M101" s="16">
        <v>65</v>
      </c>
      <c r="N101" s="11" t="s">
        <v>157</v>
      </c>
      <c r="O101" s="11"/>
      <c r="P101" s="11"/>
      <c r="Q101" s="11"/>
      <c r="R101" s="11"/>
      <c r="S101" s="26">
        <v>85</v>
      </c>
      <c r="T101" s="11" t="s">
        <v>308</v>
      </c>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8">
        <f t="shared" si="3"/>
        <v>64.285714285714292</v>
      </c>
      <c r="BH101" s="12" t="str" cm="1">
        <f t="array" ref="BH101">_xlfn.TEXTJOIN(" ", TRUE, _xlfn._xlws.FILTER(C101:BF101, MOD(COLUMN(C101:BF101)-COLUMN(BJ101),2)=0))</f>
        <v>SHOWING INTEREST NEED TO PRATICE ANSWERING WELL PERFORMING WELL NEED MOTIVATION NEED MORE PRACTICE CAN DO BETTER  PERFORMING WELL NEED MOTIVATION INTERESTED IN GAMING , TYPING IN COMPUTER  PERFORMING WELL NEED MOTIVATION INTERESTED IN KRITA PROGRAMMING</v>
      </c>
      <c r="BI101" s="11"/>
      <c r="BJ101" s="11"/>
      <c r="BK101" s="8"/>
      <c r="BL101" s="11"/>
      <c r="BM101" s="11"/>
      <c r="BN101" s="11"/>
    </row>
    <row r="102" spans="1:67" ht="14.35" customHeight="1" x14ac:dyDescent="0.45">
      <c r="A102" s="29"/>
      <c r="B102" s="8" t="s">
        <v>43</v>
      </c>
      <c r="C102" s="8">
        <v>25</v>
      </c>
      <c r="D102" s="11" t="s">
        <v>77</v>
      </c>
      <c r="E102" s="8">
        <v>50</v>
      </c>
      <c r="F102" s="11" t="s">
        <v>139</v>
      </c>
      <c r="G102" s="16">
        <v>65</v>
      </c>
      <c r="H102" s="11" t="s">
        <v>141</v>
      </c>
      <c r="I102" s="8">
        <v>75</v>
      </c>
      <c r="J102" s="11" t="s">
        <v>159</v>
      </c>
      <c r="K102" s="8"/>
      <c r="L102" s="11"/>
      <c r="M102" s="11"/>
      <c r="N102" s="11" t="s">
        <v>208</v>
      </c>
      <c r="O102" s="11">
        <v>75</v>
      </c>
      <c r="P102" s="11" t="s">
        <v>218</v>
      </c>
      <c r="Q102" s="11"/>
      <c r="R102" s="11"/>
      <c r="S102" s="26">
        <v>85</v>
      </c>
      <c r="T102" s="11" t="s">
        <v>131</v>
      </c>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8">
        <f t="shared" si="3"/>
        <v>62.5</v>
      </c>
      <c r="BH102" s="12" t="str" cm="1">
        <f t="array" ref="BH102">_xlfn.TEXTJOIN(" ", TRUE, _xlfn._xlws.FILTER(C102:BF102, MOD(COLUMN(C102:BF102)-COLUMN(BJ102),2)=0))</f>
        <v>NEUTRAL PARTICIPATION UTILIZING THE LINES NEATLY EVALUATING THE SHADINGNWELL GOOD OBSERVATION WENT TO PARTICEPATE IN ELOCUTION DOING GOOD NEED TO CHECK THE CURVES TRYING TO SIMPLIFY THE FIGURE</v>
      </c>
      <c r="BI102" s="11"/>
      <c r="BJ102" s="11"/>
      <c r="BK102" s="8"/>
      <c r="BL102" s="11"/>
      <c r="BM102" s="11"/>
      <c r="BN102" s="11"/>
    </row>
    <row r="103" spans="1:67" ht="14.35" customHeight="1" x14ac:dyDescent="0.45">
      <c r="A103" s="29"/>
      <c r="B103" s="8" t="s">
        <v>44</v>
      </c>
      <c r="C103" s="8"/>
      <c r="D103" s="11" t="s">
        <v>99</v>
      </c>
      <c r="E103" s="8">
        <v>50</v>
      </c>
      <c r="F103" s="11" t="s">
        <v>96</v>
      </c>
      <c r="G103" s="8">
        <v>50</v>
      </c>
      <c r="H103" s="11" t="s">
        <v>108</v>
      </c>
      <c r="I103" s="8">
        <v>50</v>
      </c>
      <c r="J103" s="11" t="s">
        <v>108</v>
      </c>
      <c r="K103" s="8">
        <v>75</v>
      </c>
      <c r="L103" s="11" t="s">
        <v>189</v>
      </c>
      <c r="M103" s="11"/>
      <c r="N103" s="11"/>
      <c r="O103" s="11"/>
      <c r="P103" s="11"/>
      <c r="Q103" s="11">
        <v>25</v>
      </c>
      <c r="R103" s="11" t="s">
        <v>77</v>
      </c>
      <c r="S103" s="26">
        <v>85</v>
      </c>
      <c r="T103" s="11" t="s">
        <v>309</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8">
        <f t="shared" si="3"/>
        <v>55.833333333333336</v>
      </c>
      <c r="BH103" s="12" t="str" cm="1">
        <f t="array" ref="BH103">_xlfn.TEXTJOIN(" ", TRUE, _xlfn._xlws.FILTER(C103:BF103, MOD(COLUMN(C103:BF103)-COLUMN(BJ103),2)=0))</f>
        <v>CLASS CANCELLED DOING GOOD BUT NEED TO CONCENTRATE GOOD IN READING GOOD IN READING INTERESTED IN STORY BOOKS NEUTRAL PARTICIPATION PREFER MORAL STORIES TO READ</v>
      </c>
      <c r="BI103" s="11"/>
      <c r="BJ103" s="11"/>
      <c r="BK103" s="8"/>
      <c r="BL103" s="11"/>
      <c r="BM103" s="11"/>
      <c r="BN103" s="11"/>
    </row>
    <row r="104" spans="1:67" ht="14.35" customHeight="1" x14ac:dyDescent="0.45">
      <c r="A104" s="30"/>
      <c r="B104" s="8" t="s">
        <v>45</v>
      </c>
      <c r="C104" s="8"/>
      <c r="D104" s="11"/>
      <c r="E104" s="8"/>
      <c r="F104" s="11"/>
      <c r="G104" s="8"/>
      <c r="H104" s="11"/>
      <c r="I104" s="8"/>
      <c r="J104" s="11"/>
      <c r="K104" s="8"/>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8" t="str">
        <f t="shared" si="3"/>
        <v/>
      </c>
      <c r="BH104" s="12" t="str" cm="1">
        <f t="array" ref="BH104">_xlfn.TEXTJOIN(" ", TRUE, _xlfn._xlws.FILTER(C104:BF104, MOD(COLUMN(C104:BF104)-COLUMN(BJ104),2)=0))</f>
        <v/>
      </c>
      <c r="BI104" s="11"/>
      <c r="BJ104" s="11"/>
      <c r="BK104" s="8"/>
      <c r="BL104" s="11"/>
      <c r="BM104" s="11"/>
      <c r="BN104" s="11"/>
    </row>
    <row r="105" spans="1:67" ht="14.35" customHeight="1" x14ac:dyDescent="0.45">
      <c r="A105" s="28" t="s">
        <v>88</v>
      </c>
      <c r="B105" s="8" t="s">
        <v>40</v>
      </c>
      <c r="C105" s="8"/>
      <c r="D105" s="11"/>
      <c r="E105" s="8"/>
      <c r="F105" s="11"/>
      <c r="G105" s="8"/>
      <c r="H105" s="11"/>
      <c r="I105" s="8"/>
      <c r="J105" s="11"/>
      <c r="K105" s="17">
        <v>45</v>
      </c>
      <c r="L105" s="11" t="s">
        <v>175</v>
      </c>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8">
        <f t="shared" si="3"/>
        <v>45</v>
      </c>
      <c r="BH105" s="12" t="str" cm="1">
        <f t="array" ref="BH105">_xlfn.TEXTJOIN(" ", TRUE, _xlfn._xlws.FILTER(C105:BF105, MOD(COLUMN(C105:BF105)-COLUMN(BJ105),2)=0))</f>
        <v>AVERAGE PERFORMANCE IN STUIDIES</v>
      </c>
      <c r="BI105" s="11"/>
      <c r="BJ105" s="11"/>
      <c r="BK105" s="8"/>
      <c r="BL105" s="11"/>
      <c r="BM105" s="11"/>
      <c r="BN105" s="11"/>
    </row>
    <row r="106" spans="1:67" ht="14.35" customHeight="1" x14ac:dyDescent="0.45">
      <c r="A106" s="29"/>
      <c r="B106" s="8" t="s">
        <v>41</v>
      </c>
      <c r="C106" s="8">
        <v>50</v>
      </c>
      <c r="D106" s="11" t="s">
        <v>101</v>
      </c>
      <c r="E106" s="16">
        <v>65</v>
      </c>
      <c r="F106" s="11" t="s">
        <v>102</v>
      </c>
      <c r="G106" s="8">
        <v>75</v>
      </c>
      <c r="H106" s="11" t="s">
        <v>103</v>
      </c>
      <c r="I106" s="18">
        <v>85</v>
      </c>
      <c r="J106" s="11" t="s">
        <v>103</v>
      </c>
      <c r="K106" s="18">
        <v>85</v>
      </c>
      <c r="L106" s="11" t="s">
        <v>190</v>
      </c>
      <c r="M106" s="18">
        <v>85</v>
      </c>
      <c r="N106" s="11" t="s">
        <v>103</v>
      </c>
      <c r="O106" s="11"/>
      <c r="P106" s="11"/>
      <c r="Q106" s="11"/>
      <c r="R106" s="11"/>
      <c r="S106" s="23">
        <v>80</v>
      </c>
      <c r="T106" s="11" t="s">
        <v>262</v>
      </c>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8">
        <f t="shared" si="3"/>
        <v>75</v>
      </c>
      <c r="BH106" s="12" t="str" cm="1">
        <f t="array" ref="BH106">_xlfn.TEXTJOIN(" ", TRUE, _xlfn._xlws.FILTER(C106:BF106, MOD(COLUMN(C106:BF106)-COLUMN(BJ106),2)=0))</f>
        <v>GOOD IN PLAYING FOOTBALL GOOD IN PLAYING SHUTTLE PLAYING WELL SHUTTLE PLAYING WELL SHUTTLE INTERESTED IN KHO-KHO PLAYING WELL SHUTTLE INTERESTED IN FOOTBALL&amp;CRICKET HE IS GOOD AT BATTING</v>
      </c>
      <c r="BI106" s="11"/>
      <c r="BJ106" s="11"/>
      <c r="BK106" s="8"/>
      <c r="BL106" s="11"/>
      <c r="BM106" s="11"/>
      <c r="BN106" s="11"/>
    </row>
    <row r="107" spans="1:67" ht="14.35" customHeight="1" x14ac:dyDescent="0.45">
      <c r="A107" s="29"/>
      <c r="B107" s="8" t="s">
        <v>42</v>
      </c>
      <c r="C107" s="8">
        <v>50</v>
      </c>
      <c r="D107" s="11" t="s">
        <v>105</v>
      </c>
      <c r="E107" s="8">
        <v>50</v>
      </c>
      <c r="F107" s="11" t="s">
        <v>106</v>
      </c>
      <c r="G107" s="8">
        <v>50</v>
      </c>
      <c r="H107" s="11" t="s">
        <v>107</v>
      </c>
      <c r="I107" s="16">
        <v>65</v>
      </c>
      <c r="J107" s="11" t="s">
        <v>157</v>
      </c>
      <c r="K107" s="18">
        <v>85</v>
      </c>
      <c r="L107" s="11" t="s">
        <v>193</v>
      </c>
      <c r="M107" s="16">
        <v>65</v>
      </c>
      <c r="N107" s="11" t="s">
        <v>157</v>
      </c>
      <c r="O107" s="11"/>
      <c r="P107" s="11"/>
      <c r="Q107" s="11"/>
      <c r="R107" s="11"/>
      <c r="S107" s="11">
        <v>75</v>
      </c>
      <c r="T107" s="11" t="s">
        <v>258</v>
      </c>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8">
        <f t="shared" si="3"/>
        <v>62.857142857142854</v>
      </c>
      <c r="BH107" s="12" t="str" cm="1">
        <f t="array" ref="BH107">_xlfn.TEXTJOIN(" ", TRUE, _xlfn._xlws.FILTER(C107:BF107, MOD(COLUMN(C107:BF107)-COLUMN(BJ107),2)=0))</f>
        <v>SHOWING INTEREST NEED TO PRATICE ANSWERING WELL PERFORMING WELL NEED MOTIVATION NEED MORE PRACTICE CAN DO BETTER  PERFORMING WELL NEED MOTIVATION INTERESTED IN DRAWING IN COMPUTER  PERFORMING WELL NEED MOTIVATION BASIC SKILLS LIKE TYPING</v>
      </c>
      <c r="BI107" s="11"/>
      <c r="BJ107" s="11"/>
      <c r="BK107" s="8"/>
      <c r="BL107" s="11"/>
      <c r="BM107" s="11"/>
      <c r="BN107" s="11"/>
    </row>
    <row r="108" spans="1:67" ht="14.35" customHeight="1" x14ac:dyDescent="0.45">
      <c r="A108" s="29"/>
      <c r="B108" s="8" t="s">
        <v>43</v>
      </c>
      <c r="C108" s="8"/>
      <c r="D108" s="11" t="s">
        <v>104</v>
      </c>
      <c r="E108" s="8">
        <v>50</v>
      </c>
      <c r="F108" s="11" t="s">
        <v>134</v>
      </c>
      <c r="G108" s="16">
        <v>65</v>
      </c>
      <c r="H108" s="11" t="s">
        <v>152</v>
      </c>
      <c r="I108" s="8">
        <v>75</v>
      </c>
      <c r="J108" s="11" t="s">
        <v>140</v>
      </c>
      <c r="K108" s="8">
        <v>75</v>
      </c>
      <c r="L108" s="11" t="s">
        <v>188</v>
      </c>
      <c r="M108" s="11" t="s">
        <v>72</v>
      </c>
      <c r="N108" s="11" t="s">
        <v>72</v>
      </c>
      <c r="O108" s="11">
        <v>70</v>
      </c>
      <c r="P108" s="11" t="s">
        <v>220</v>
      </c>
      <c r="Q108" s="11"/>
      <c r="R108" s="11"/>
      <c r="S108" s="22">
        <v>70</v>
      </c>
      <c r="T108" s="11" t="s">
        <v>254</v>
      </c>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8">
        <f t="shared" si="3"/>
        <v>67.5</v>
      </c>
      <c r="BH108" s="12" t="str" cm="1">
        <f t="array" ref="BH108">_xlfn.TEXTJOIN(" ", TRUE, _xlfn._xlws.FILTER(C108:BF108, MOD(COLUMN(C108:BF108)-COLUMN(BJ108),2)=0))</f>
        <v>WENT TO ESSAY WRITING NEED TO PRACTICE TAKING FRIENDS HELP GOOD OBSERVATION NEED PRACTICE SIMPLIFYING THE CONTOUR WELL INTERESTED IN DRAWING AB CAPTURING THE PROPORTION ACCURATELY PERFORMING WELL</v>
      </c>
      <c r="BI108" s="11"/>
      <c r="BJ108" s="11"/>
      <c r="BK108" s="8"/>
      <c r="BL108" s="11"/>
      <c r="BM108" s="11"/>
      <c r="BN108" s="11"/>
    </row>
    <row r="109" spans="1:67" ht="14.35" customHeight="1" x14ac:dyDescent="0.45">
      <c r="A109" s="29"/>
      <c r="B109" s="8" t="s">
        <v>44</v>
      </c>
      <c r="C109" s="8"/>
      <c r="D109" s="11" t="s">
        <v>99</v>
      </c>
      <c r="E109" s="8" t="s">
        <v>72</v>
      </c>
      <c r="F109" s="11" t="s">
        <v>86</v>
      </c>
      <c r="G109" s="8">
        <v>50</v>
      </c>
      <c r="H109" s="11" t="s">
        <v>117</v>
      </c>
      <c r="I109" s="8">
        <v>50</v>
      </c>
      <c r="J109" s="11" t="s">
        <v>168</v>
      </c>
      <c r="K109" s="8">
        <v>75</v>
      </c>
      <c r="L109" s="11" t="s">
        <v>198</v>
      </c>
      <c r="M109" s="11"/>
      <c r="N109" s="11"/>
      <c r="O109" s="11"/>
      <c r="P109" s="11"/>
      <c r="Q109" s="11">
        <v>25</v>
      </c>
      <c r="R109" s="11" t="s">
        <v>77</v>
      </c>
      <c r="S109" s="22">
        <v>70</v>
      </c>
      <c r="T109" s="11" t="s">
        <v>263</v>
      </c>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8">
        <f t="shared" si="3"/>
        <v>54</v>
      </c>
      <c r="BH109" s="12" t="str" cm="1">
        <f t="array" ref="BH109">_xlfn.TEXTJOIN(" ", TRUE, _xlfn._xlws.FILTER(C109:BF109, MOD(COLUMN(C109:BF109)-COLUMN(BJ109),2)=0))</f>
        <v>CLASS CANCELLED ABSENT AVERAGE PARTICIPATION GOOD IN READING NEED TO CONCENTRATE INTERESTED IN PANCHATANTRA BOOKS NEUTRAL PARTICIPATION JUST READING RANDOM BOOKS NO SPECIFIC INTEREST IN READING</v>
      </c>
      <c r="BI109" s="11"/>
      <c r="BJ109" s="11"/>
      <c r="BK109" s="8"/>
      <c r="BL109" s="11"/>
      <c r="BM109" s="11"/>
      <c r="BN109" s="11"/>
    </row>
    <row r="110" spans="1:67" ht="14.35" customHeight="1" x14ac:dyDescent="0.45">
      <c r="A110" s="30"/>
      <c r="B110" s="8" t="s">
        <v>45</v>
      </c>
      <c r="C110" s="8"/>
      <c r="D110" s="11"/>
      <c r="E110" s="8"/>
      <c r="F110" s="11"/>
      <c r="G110" s="8"/>
      <c r="H110" s="11"/>
      <c r="I110" s="8"/>
      <c r="J110" s="11"/>
      <c r="K110" s="8"/>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8" t="str">
        <f t="shared" si="3"/>
        <v/>
      </c>
      <c r="BH110" s="12" t="str" cm="1">
        <f t="array" ref="BH110">_xlfn.TEXTJOIN(" ", TRUE, _xlfn._xlws.FILTER(C110:BF110, MOD(COLUMN(C110:BF110)-COLUMN(BJ110),2)=0))</f>
        <v/>
      </c>
      <c r="BI110" s="11"/>
      <c r="BJ110" s="11"/>
      <c r="BK110" s="8"/>
      <c r="BL110" s="11"/>
      <c r="BM110" s="11"/>
      <c r="BN110" s="11"/>
    </row>
    <row r="111" spans="1:67" ht="14.35" customHeight="1" x14ac:dyDescent="0.45">
      <c r="A111" s="28" t="s">
        <v>59</v>
      </c>
      <c r="B111" s="8" t="s">
        <v>40</v>
      </c>
      <c r="C111" s="8"/>
      <c r="D111" s="11"/>
      <c r="E111" s="8"/>
      <c r="F111" s="11"/>
      <c r="G111" s="8"/>
      <c r="H111" s="11"/>
      <c r="I111" s="8"/>
      <c r="J111" s="11"/>
      <c r="K111" s="8"/>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8" t="str">
        <f t="shared" si="3"/>
        <v/>
      </c>
      <c r="BH111" s="12" t="str" cm="1">
        <f t="array" ref="BH111">_xlfn.TEXTJOIN(" ", TRUE, _xlfn._xlws.FILTER(C111:BF111, MOD(COLUMN(C111:BF111)-COLUMN(BJ111),2)=0))</f>
        <v/>
      </c>
      <c r="BI111" s="11"/>
      <c r="BJ111" s="11"/>
      <c r="BK111" s="8"/>
      <c r="BL111" s="11"/>
      <c r="BM111" s="11"/>
      <c r="BN111" s="11"/>
    </row>
    <row r="112" spans="1:67" ht="14.35" customHeight="1" x14ac:dyDescent="0.45">
      <c r="A112" s="29"/>
      <c r="B112" s="8" t="s">
        <v>41</v>
      </c>
      <c r="C112" s="8">
        <v>50</v>
      </c>
      <c r="D112" s="11" t="s">
        <v>101</v>
      </c>
      <c r="E112" s="16">
        <v>65</v>
      </c>
      <c r="F112" s="11" t="s">
        <v>102</v>
      </c>
      <c r="G112" s="8">
        <v>75</v>
      </c>
      <c r="H112" s="11" t="s">
        <v>103</v>
      </c>
      <c r="I112" s="18">
        <v>85</v>
      </c>
      <c r="J112" s="11" t="s">
        <v>103</v>
      </c>
      <c r="K112" s="8"/>
      <c r="L112" s="11"/>
      <c r="M112" s="18">
        <v>85</v>
      </c>
      <c r="N112" s="11" t="s">
        <v>103</v>
      </c>
      <c r="O112" s="11"/>
      <c r="P112" s="11"/>
      <c r="Q112" s="11"/>
      <c r="R112" s="11"/>
      <c r="S112" s="26">
        <v>85</v>
      </c>
      <c r="T112" s="11" t="s">
        <v>302</v>
      </c>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8">
        <f t="shared" si="3"/>
        <v>74.166666666666671</v>
      </c>
      <c r="BH112" s="12" t="str" cm="1">
        <f t="array" ref="BH112">_xlfn.TEXTJOIN(" ", TRUE, _xlfn._xlws.FILTER(C112:BF112, MOD(COLUMN(C112:BF112)-COLUMN(BJ112),2)=0))</f>
        <v>GOOD IN PLAYING FOOTBALL GOOD IN PLAYING SHUTTLE PLAYING WELL SHUTTLE PLAYING WELL SHUTTLE PLAYING WELL SHUTTLE INTERESTED IN KHOKHO,KHABADI</v>
      </c>
      <c r="BI112" s="11"/>
      <c r="BJ112" s="11"/>
      <c r="BK112" s="8"/>
      <c r="BL112" s="11"/>
      <c r="BM112" s="11"/>
      <c r="BN112" s="11"/>
    </row>
    <row r="113" spans="1:66" ht="14.35" customHeight="1" x14ac:dyDescent="0.45">
      <c r="A113" s="29"/>
      <c r="B113" s="8" t="s">
        <v>42</v>
      </c>
      <c r="C113" s="8">
        <v>50</v>
      </c>
      <c r="D113" s="11" t="s">
        <v>105</v>
      </c>
      <c r="E113" s="8">
        <v>50</v>
      </c>
      <c r="F113" s="11" t="s">
        <v>106</v>
      </c>
      <c r="G113" s="8">
        <v>50</v>
      </c>
      <c r="H113" s="11" t="s">
        <v>107</v>
      </c>
      <c r="I113" s="16">
        <v>65</v>
      </c>
      <c r="J113" s="11" t="s">
        <v>157</v>
      </c>
      <c r="K113" s="8" t="s">
        <v>72</v>
      </c>
      <c r="L113" s="11" t="s">
        <v>86</v>
      </c>
      <c r="M113" s="16">
        <v>65</v>
      </c>
      <c r="N113" s="11" t="s">
        <v>157</v>
      </c>
      <c r="O113" s="11"/>
      <c r="P113" s="11"/>
      <c r="Q113" s="11"/>
      <c r="R113" s="11"/>
      <c r="S113" s="23">
        <v>80</v>
      </c>
      <c r="T113" s="11" t="s">
        <v>299</v>
      </c>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8">
        <f t="shared" si="3"/>
        <v>60</v>
      </c>
      <c r="BH113" s="12" t="str" cm="1">
        <f t="array" ref="BH113">_xlfn.TEXTJOIN(" ", TRUE, _xlfn._xlws.FILTER(C113:BF113, MOD(COLUMN(C113:BF113)-COLUMN(BJ113),2)=0))</f>
        <v>SHOWING INTEREST NEED TO PRATICE ANSWERING WELL PERFORMING WELL NEED MOTIVATION NEED MORE PRACTICE CAN DO BETTER  PERFORMING WELL NEED MOTIVATION ABSENT  PERFORMING WELL NEED MOTIVATION BASIC SKILLS LIKE TYPING&amp;DRAWING</v>
      </c>
      <c r="BI113" s="11"/>
      <c r="BJ113" s="11"/>
      <c r="BK113" s="8"/>
      <c r="BL113" s="11"/>
      <c r="BM113" s="11"/>
      <c r="BN113" s="11"/>
    </row>
    <row r="114" spans="1:66" ht="14.35" customHeight="1" x14ac:dyDescent="0.45">
      <c r="A114" s="29"/>
      <c r="B114" s="8" t="s">
        <v>43</v>
      </c>
      <c r="C114" s="8"/>
      <c r="D114" s="11" t="s">
        <v>104</v>
      </c>
      <c r="E114" s="8">
        <v>50</v>
      </c>
      <c r="F114" s="11" t="s">
        <v>133</v>
      </c>
      <c r="G114" s="16">
        <v>65</v>
      </c>
      <c r="H114" s="11" t="s">
        <v>149</v>
      </c>
      <c r="I114" s="16">
        <v>65</v>
      </c>
      <c r="J114" s="11" t="s">
        <v>165</v>
      </c>
      <c r="K114" s="8"/>
      <c r="L114" s="11"/>
      <c r="M114" s="11" t="s">
        <v>72</v>
      </c>
      <c r="N114" s="11" t="s">
        <v>72</v>
      </c>
      <c r="O114" s="11">
        <v>80</v>
      </c>
      <c r="P114" s="11" t="s">
        <v>221</v>
      </c>
      <c r="Q114" s="11"/>
      <c r="R114" s="11"/>
      <c r="S114" s="23">
        <v>80</v>
      </c>
      <c r="T114" s="11" t="s">
        <v>297</v>
      </c>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8">
        <f t="shared" si="3"/>
        <v>68</v>
      </c>
      <c r="BH114" s="12" t="str" cm="1">
        <f t="array" ref="BH114">_xlfn.TEXTJOIN(" ", TRUE, _xlfn._xlws.FILTER(C114:BF114, MOD(COLUMN(C114:BF114)-COLUMN(BJ114),2)=0))</f>
        <v>WENT TO ESSAY WRITING GOOD IN VISUAL COMPONENTS GOOD IN CREATING SMOOTH SOFT EDGES PERFORMING WELL NEED TO PRACTICE AB SHOWING GOOD SKILL IN DEPICTING THE DETAILS OF THE OBJECT SHOWING PROGRESS IN DRAWING</v>
      </c>
      <c r="BI114" s="11"/>
      <c r="BJ114" s="11"/>
      <c r="BK114" s="8"/>
      <c r="BL114" s="11"/>
      <c r="BM114" s="11"/>
      <c r="BN114" s="11"/>
    </row>
    <row r="115" spans="1:66" ht="14.35" customHeight="1" x14ac:dyDescent="0.45">
      <c r="A115" s="29"/>
      <c r="B115" s="8" t="s">
        <v>44</v>
      </c>
      <c r="C115" s="8"/>
      <c r="D115" s="11" t="s">
        <v>99</v>
      </c>
      <c r="E115" s="8">
        <v>50</v>
      </c>
      <c r="F115" s="11" t="s">
        <v>98</v>
      </c>
      <c r="G115" s="8">
        <v>50</v>
      </c>
      <c r="H115" s="11" t="s">
        <v>123</v>
      </c>
      <c r="I115" s="8">
        <v>50</v>
      </c>
      <c r="J115" s="11" t="s">
        <v>168</v>
      </c>
      <c r="K115" s="8"/>
      <c r="L115" s="11"/>
      <c r="M115" s="11"/>
      <c r="N115" s="11"/>
      <c r="O115" s="11"/>
      <c r="P115" s="11"/>
      <c r="Q115" s="11"/>
      <c r="R115" s="11"/>
      <c r="S115" s="23">
        <v>80</v>
      </c>
      <c r="T115" s="11" t="s">
        <v>303</v>
      </c>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8">
        <f t="shared" si="3"/>
        <v>57.5</v>
      </c>
      <c r="BH115" s="12" t="str" cm="1">
        <f t="array" ref="BH115">_xlfn.TEXTJOIN(" ", TRUE, _xlfn._xlws.FILTER(C115:BF115, MOD(COLUMN(C115:BF115)-COLUMN(BJ115),2)=0))</f>
        <v>CLASS CANCELLED DOING GOOD NEED TO CONCENTRATE NEED CONCENTRATION GOOD IN READING NEED TO CONCENTRATE PREFER MORAL STORIES IN READING</v>
      </c>
      <c r="BI115" s="11"/>
      <c r="BJ115" s="11"/>
      <c r="BK115" s="8"/>
      <c r="BL115" s="11"/>
      <c r="BM115" s="11"/>
      <c r="BN115" s="11"/>
    </row>
    <row r="116" spans="1:66" ht="14.35" customHeight="1" x14ac:dyDescent="0.45">
      <c r="A116" s="30"/>
      <c r="B116" s="8" t="s">
        <v>45</v>
      </c>
      <c r="C116" s="8"/>
      <c r="D116" s="11"/>
      <c r="E116" s="8"/>
      <c r="F116" s="11"/>
      <c r="G116" s="8"/>
      <c r="H116" s="11"/>
      <c r="I116" s="8"/>
      <c r="J116" s="11"/>
      <c r="K116" s="8"/>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8" t="str">
        <f t="shared" si="3"/>
        <v/>
      </c>
      <c r="BH116" s="12" t="str" cm="1">
        <f t="array" ref="BH116">_xlfn.TEXTJOIN(" ", TRUE, _xlfn._xlws.FILTER(C116:BF116, MOD(COLUMN(C116:BF116)-COLUMN(BJ116),2)=0))</f>
        <v/>
      </c>
      <c r="BI116" s="11"/>
      <c r="BJ116" s="11"/>
      <c r="BK116" s="8"/>
      <c r="BL116" s="11"/>
      <c r="BM116" s="11"/>
      <c r="BN116" s="11"/>
    </row>
    <row r="117" spans="1:66" ht="14.35" customHeight="1" x14ac:dyDescent="0.45">
      <c r="A117" s="28" t="s">
        <v>60</v>
      </c>
      <c r="B117" s="14" t="s">
        <v>40</v>
      </c>
      <c r="C117" s="8"/>
      <c r="D117" s="11"/>
      <c r="E117" s="8"/>
      <c r="F117" s="11"/>
      <c r="G117" s="8"/>
      <c r="H117" s="11"/>
      <c r="I117" s="8"/>
      <c r="J117" s="11"/>
      <c r="K117" s="17">
        <v>87</v>
      </c>
      <c r="L117" s="11" t="s">
        <v>182</v>
      </c>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8">
        <f t="shared" si="3"/>
        <v>87</v>
      </c>
      <c r="BH117" s="12" t="str" cm="1">
        <f t="array" ref="BH117">_xlfn.TEXTJOIN(" ", TRUE, _xlfn._xlws.FILTER(C117:BF117, MOD(COLUMN(C117:BF117)-COLUMN(BJ117),2)=0))</f>
        <v>GOOD IN URDU&amp;BIOLOGY</v>
      </c>
      <c r="BI117" s="11"/>
      <c r="BJ117" s="11"/>
      <c r="BK117" s="11"/>
      <c r="BL117" s="11"/>
      <c r="BM117" s="11"/>
      <c r="BN117" s="11"/>
    </row>
    <row r="118" spans="1:66" ht="14.35" customHeight="1" x14ac:dyDescent="0.45">
      <c r="A118" s="29"/>
      <c r="B118" s="14" t="s">
        <v>41</v>
      </c>
      <c r="C118" s="8">
        <v>50</v>
      </c>
      <c r="D118" s="11" t="s">
        <v>101</v>
      </c>
      <c r="E118" s="16">
        <v>65</v>
      </c>
      <c r="F118" s="11" t="s">
        <v>102</v>
      </c>
      <c r="G118" s="8">
        <v>75</v>
      </c>
      <c r="H118" s="11" t="s">
        <v>103</v>
      </c>
      <c r="I118" s="18">
        <v>85</v>
      </c>
      <c r="J118" s="11" t="s">
        <v>103</v>
      </c>
      <c r="K118" s="18">
        <v>85</v>
      </c>
      <c r="L118" s="11" t="s">
        <v>192</v>
      </c>
      <c r="M118" s="18">
        <v>85</v>
      </c>
      <c r="N118" s="11" t="s">
        <v>103</v>
      </c>
      <c r="O118" s="11"/>
      <c r="P118" s="11"/>
      <c r="Q118" s="11"/>
      <c r="R118" s="11"/>
      <c r="S118" s="26">
        <v>85</v>
      </c>
      <c r="T118" s="11" t="s">
        <v>304</v>
      </c>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8">
        <f t="shared" si="3"/>
        <v>75.714285714285708</v>
      </c>
      <c r="BH118" s="12" t="str" cm="1">
        <f t="array" ref="BH118">_xlfn.TEXTJOIN(" ", TRUE, _xlfn._xlws.FILTER(C118:BF118, MOD(COLUMN(C118:BF118)-COLUMN(BJ118),2)=0))</f>
        <v>GOOD IN PLAYING FOOTBALL GOOD IN PLAYING SHUTTLE PLAYING WELL SHUTTLE PLAYING WELL SHUTTLE INTERESTED IN SHUTTLE PLAYING WELL SHUTTLE INTERESTED IN VOLLEYBALL,KHOKHO</v>
      </c>
      <c r="BI118" s="11"/>
      <c r="BJ118" s="11"/>
      <c r="BK118" s="11"/>
      <c r="BL118" s="11"/>
      <c r="BM118" s="11"/>
      <c r="BN118" s="11"/>
    </row>
    <row r="119" spans="1:66" ht="14.35" customHeight="1" x14ac:dyDescent="0.45">
      <c r="A119" s="29"/>
      <c r="B119" s="14" t="s">
        <v>42</v>
      </c>
      <c r="C119" s="8">
        <v>50</v>
      </c>
      <c r="D119" s="11" t="s">
        <v>105</v>
      </c>
      <c r="E119" s="8">
        <v>50</v>
      </c>
      <c r="F119" s="11" t="s">
        <v>106</v>
      </c>
      <c r="G119" s="8">
        <v>50</v>
      </c>
      <c r="H119" s="11" t="s">
        <v>107</v>
      </c>
      <c r="I119" s="16">
        <v>65</v>
      </c>
      <c r="J119" s="11" t="s">
        <v>157</v>
      </c>
      <c r="K119" s="18">
        <v>85</v>
      </c>
      <c r="L119" s="11" t="s">
        <v>193</v>
      </c>
      <c r="M119" s="16">
        <v>65</v>
      </c>
      <c r="N119" s="11" t="s">
        <v>157</v>
      </c>
      <c r="O119" s="11"/>
      <c r="P119" s="11"/>
      <c r="Q119" s="11"/>
      <c r="R119" s="11"/>
      <c r="S119" s="26">
        <v>85</v>
      </c>
      <c r="T119" s="11" t="s">
        <v>305</v>
      </c>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8">
        <f t="shared" si="3"/>
        <v>64.285714285714292</v>
      </c>
      <c r="BH119" s="12" t="str" cm="1">
        <f t="array" ref="BH119">_xlfn.TEXTJOIN(" ", TRUE, _xlfn._xlws.FILTER(C119:BF119, MOD(COLUMN(C119:BF119)-COLUMN(BJ119),2)=0))</f>
        <v>SHOWING INTEREST NEED TO PRATICE ANSWERING WELL PERFORMING WELL NEED MOTIVATION NEED MORE PRACTICE CAN DO BETTER  PERFORMING WELL NEED MOTIVATION INTERESTED IN DRAWING IN COMPUTER  PERFORMING WELL NEED MOTIVATION LEARNING ABOUT KIRTA PROGRAMMING</v>
      </c>
      <c r="BI119" s="11"/>
      <c r="BJ119" s="11"/>
      <c r="BK119" s="11"/>
      <c r="BL119" s="11"/>
      <c r="BM119" s="11"/>
      <c r="BN119" s="11"/>
    </row>
    <row r="120" spans="1:66" ht="14.35" customHeight="1" x14ac:dyDescent="0.45">
      <c r="A120" s="29"/>
      <c r="B120" s="14" t="s">
        <v>43</v>
      </c>
      <c r="C120" s="8" t="s">
        <v>72</v>
      </c>
      <c r="D120" s="11" t="s">
        <v>72</v>
      </c>
      <c r="E120" s="8">
        <v>50</v>
      </c>
      <c r="F120" s="11" t="s">
        <v>132</v>
      </c>
      <c r="G120" s="16">
        <v>65</v>
      </c>
      <c r="H120" s="11" t="s">
        <v>141</v>
      </c>
      <c r="I120" s="8">
        <v>50</v>
      </c>
      <c r="J120" s="11" t="s">
        <v>164</v>
      </c>
      <c r="K120" s="8">
        <v>75</v>
      </c>
      <c r="L120" s="11" t="s">
        <v>188</v>
      </c>
      <c r="M120" s="11"/>
      <c r="N120" s="11" t="s">
        <v>208</v>
      </c>
      <c r="O120" s="11">
        <v>80</v>
      </c>
      <c r="P120" s="11" t="s">
        <v>222</v>
      </c>
      <c r="Q120" s="11"/>
      <c r="R120" s="11"/>
      <c r="S120" s="26">
        <v>85</v>
      </c>
      <c r="T120" s="11" t="s">
        <v>306</v>
      </c>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8">
        <f t="shared" si="3"/>
        <v>67.5</v>
      </c>
      <c r="BH120" s="12" t="str" cm="1">
        <f t="array" ref="BH120">_xlfn.TEXTJOIN(" ", TRUE, _xlfn._xlws.FILTER(C120:BF120, MOD(COLUMN(C120:BF120)-COLUMN(BJ120),2)=0))</f>
        <v>AB GOOD OBSERVATION SKILLS EVALUATING THE SHADINGNWELL AVERAGE PARTICEPATION INTERESTED IN DRAWING WENT TO PARTICEPATE IN ELOCUTION DEVELOPING A STRONG STYLE IN THE WORK DEVELOPING VOLUME AND DEPTH IN THE WORK</v>
      </c>
      <c r="BI120" s="11"/>
      <c r="BJ120" s="11"/>
      <c r="BK120" s="11"/>
      <c r="BL120" s="11"/>
      <c r="BM120" s="11"/>
      <c r="BN120" s="11"/>
    </row>
    <row r="121" spans="1:66" ht="14.35" customHeight="1" x14ac:dyDescent="0.45">
      <c r="A121" s="29"/>
      <c r="B121" s="14" t="s">
        <v>44</v>
      </c>
      <c r="C121" s="8"/>
      <c r="D121" s="11" t="s">
        <v>99</v>
      </c>
      <c r="E121" s="8" t="s">
        <v>72</v>
      </c>
      <c r="F121" s="11" t="s">
        <v>86</v>
      </c>
      <c r="G121" s="8">
        <v>50</v>
      </c>
      <c r="H121" s="11" t="s">
        <v>117</v>
      </c>
      <c r="I121" s="8">
        <v>50</v>
      </c>
      <c r="J121" s="11" t="s">
        <v>108</v>
      </c>
      <c r="K121" s="18">
        <v>85</v>
      </c>
      <c r="L121" s="11" t="s">
        <v>197</v>
      </c>
      <c r="M121" s="11"/>
      <c r="N121" s="11"/>
      <c r="O121" s="11"/>
      <c r="P121" s="11"/>
      <c r="Q121" s="11"/>
      <c r="R121" s="11"/>
      <c r="S121" s="26">
        <v>85</v>
      </c>
      <c r="T121" s="11" t="s">
        <v>307</v>
      </c>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8">
        <f t="shared" si="3"/>
        <v>67.5</v>
      </c>
      <c r="BH121" s="12" t="str" cm="1">
        <f t="array" ref="BH121">_xlfn.TEXTJOIN(" ", TRUE, _xlfn._xlws.FILTER(C121:BF121, MOD(COLUMN(C121:BF121)-COLUMN(BJ121),2)=0))</f>
        <v>CLASS CANCELLED ABSENT AVERAGE PARTICIPATION GOOD IN READING INTERESTED IN MORAL BOOKS PREFER FAIRY TALES TO READ</v>
      </c>
      <c r="BI121" s="11"/>
      <c r="BJ121" s="11"/>
      <c r="BK121" s="11"/>
      <c r="BL121" s="11"/>
      <c r="BM121" s="11"/>
      <c r="BN121" s="11"/>
    </row>
    <row r="122" spans="1:66" ht="14.35" customHeight="1" x14ac:dyDescent="0.45">
      <c r="A122" s="30"/>
      <c r="B122" s="14" t="s">
        <v>45</v>
      </c>
      <c r="C122" s="8"/>
      <c r="D122" s="11"/>
      <c r="E122" s="8"/>
      <c r="F122" s="11"/>
      <c r="G122" s="8"/>
      <c r="H122" s="11"/>
      <c r="I122" s="8"/>
      <c r="J122" s="11"/>
      <c r="K122" s="8"/>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8" t="str">
        <f t="shared" si="3"/>
        <v/>
      </c>
      <c r="BH122" s="12" t="str" cm="1">
        <f t="array" ref="BH122">_xlfn.TEXTJOIN(" ", TRUE, _xlfn._xlws.FILTER(C122:BF122, MOD(COLUMN(C122:BF122)-COLUMN(BJ122),2)=0))</f>
        <v/>
      </c>
      <c r="BI122" s="11"/>
      <c r="BJ122" s="11"/>
      <c r="BK122" s="11"/>
      <c r="BL122" s="11"/>
      <c r="BM122" s="11"/>
      <c r="BN122" s="11"/>
    </row>
    <row r="123" spans="1:66" ht="14.35" customHeight="1" x14ac:dyDescent="0.45">
      <c r="A123" s="28" t="s">
        <v>61</v>
      </c>
      <c r="B123" s="14" t="s">
        <v>40</v>
      </c>
      <c r="C123" s="8"/>
      <c r="D123" s="11"/>
      <c r="E123" s="8"/>
      <c r="F123" s="11"/>
      <c r="G123" s="8"/>
      <c r="H123" s="11"/>
      <c r="I123" s="8"/>
      <c r="J123" s="11"/>
      <c r="K123" s="17">
        <v>89</v>
      </c>
      <c r="L123" s="11" t="s">
        <v>182</v>
      </c>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8">
        <f t="shared" si="3"/>
        <v>89</v>
      </c>
      <c r="BH123" s="12" t="str" cm="1">
        <f t="array" ref="BH123">_xlfn.TEXTJOIN(" ", TRUE, _xlfn._xlws.FILTER(C123:BF123, MOD(COLUMN(C123:BF123)-COLUMN(BJ123),2)=0))</f>
        <v>GOOD IN URDU&amp;BIOLOGY</v>
      </c>
      <c r="BI123" s="11"/>
      <c r="BJ123" s="11"/>
      <c r="BK123" s="11"/>
      <c r="BL123" s="11"/>
      <c r="BM123" s="11"/>
      <c r="BN123" s="11"/>
    </row>
    <row r="124" spans="1:66" ht="14.35" customHeight="1" x14ac:dyDescent="0.45">
      <c r="A124" s="29"/>
      <c r="B124" s="14" t="s">
        <v>41</v>
      </c>
      <c r="C124" s="8">
        <v>50</v>
      </c>
      <c r="D124" s="11" t="s">
        <v>101</v>
      </c>
      <c r="E124" s="16">
        <v>65</v>
      </c>
      <c r="F124" s="11" t="s">
        <v>102</v>
      </c>
      <c r="G124" s="8">
        <v>75</v>
      </c>
      <c r="H124" s="11" t="s">
        <v>103</v>
      </c>
      <c r="I124" s="18">
        <v>85</v>
      </c>
      <c r="J124" s="11" t="s">
        <v>103</v>
      </c>
      <c r="K124" s="18">
        <v>85</v>
      </c>
      <c r="L124" s="11" t="s">
        <v>192</v>
      </c>
      <c r="M124" s="18">
        <v>85</v>
      </c>
      <c r="N124" s="11" t="s">
        <v>103</v>
      </c>
      <c r="O124" s="11"/>
      <c r="P124" s="11"/>
      <c r="Q124" s="11"/>
      <c r="R124" s="11"/>
      <c r="S124" s="26">
        <v>85</v>
      </c>
      <c r="T124" s="11" t="s">
        <v>311</v>
      </c>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8">
        <f t="shared" si="3"/>
        <v>75.714285714285708</v>
      </c>
      <c r="BH124" s="12" t="str" cm="1">
        <f t="array" ref="BH124">_xlfn.TEXTJOIN(" ", TRUE, _xlfn._xlws.FILTER(C124:BF124, MOD(COLUMN(C124:BF124)-COLUMN(BJ124),2)=0))</f>
        <v>GOOD IN PLAYING FOOTBALL GOOD IN PLAYING SHUTTLE PLAYING WELL SHUTTLE PLAYING WELL SHUTTLE INTERESTED IN SHUTTLE PLAYING WELL SHUTTLE INTERESTED IN KHOKHO,THROWBALL</v>
      </c>
      <c r="BI124" s="11"/>
      <c r="BJ124" s="11"/>
      <c r="BK124" s="11"/>
      <c r="BL124" s="11"/>
      <c r="BM124" s="11"/>
      <c r="BN124" s="11"/>
    </row>
    <row r="125" spans="1:66" ht="14.35" customHeight="1" x14ac:dyDescent="0.45">
      <c r="A125" s="29"/>
      <c r="B125" s="14" t="s">
        <v>42</v>
      </c>
      <c r="C125" s="8">
        <v>50</v>
      </c>
      <c r="D125" s="11" t="s">
        <v>105</v>
      </c>
      <c r="E125" s="8">
        <v>50</v>
      </c>
      <c r="F125" s="11" t="s">
        <v>106</v>
      </c>
      <c r="G125" s="8">
        <v>50</v>
      </c>
      <c r="H125" s="11" t="s">
        <v>107</v>
      </c>
      <c r="I125" s="16">
        <v>65</v>
      </c>
      <c r="J125" s="11" t="s">
        <v>157</v>
      </c>
      <c r="K125" s="18">
        <v>85</v>
      </c>
      <c r="L125" s="11" t="s">
        <v>193</v>
      </c>
      <c r="M125" s="16">
        <v>65</v>
      </c>
      <c r="N125" s="11" t="s">
        <v>157</v>
      </c>
      <c r="O125" s="11"/>
      <c r="P125" s="11"/>
      <c r="Q125" s="11"/>
      <c r="R125" s="11"/>
      <c r="S125" s="23">
        <v>80</v>
      </c>
      <c r="T125" s="11" t="s">
        <v>243</v>
      </c>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8">
        <f t="shared" si="3"/>
        <v>63.571428571428569</v>
      </c>
      <c r="BH125" s="12" t="str" cm="1">
        <f t="array" ref="BH125">_xlfn.TEXTJOIN(" ", TRUE, _xlfn._xlws.FILTER(C125:BF125, MOD(COLUMN(C125:BF125)-COLUMN(BJ125),2)=0))</f>
        <v>SHOWING INTEREST NEED TO PRATICE ANSWERING WELL PERFORMING WELL NEED MOTIVATION NEED MORE PRACTICE CAN DO BETTER  PERFORMING WELL NEED MOTIVATION INTERESTED IN DRAWING IN COMPUTER  PERFORMING WELL NEED MOTIVATION BASIC SKILLS LIKE TYPING &amp;DRAWING</v>
      </c>
      <c r="BI125" s="11"/>
      <c r="BJ125" s="11"/>
      <c r="BK125" s="11"/>
      <c r="BL125" s="11"/>
      <c r="BM125" s="11"/>
      <c r="BN125" s="11"/>
    </row>
    <row r="126" spans="1:66" ht="14.35" customHeight="1" x14ac:dyDescent="0.45">
      <c r="A126" s="29"/>
      <c r="B126" s="14" t="s">
        <v>43</v>
      </c>
      <c r="C126" s="16">
        <v>65</v>
      </c>
      <c r="D126" s="11" t="s">
        <v>80</v>
      </c>
      <c r="E126" s="16">
        <v>65</v>
      </c>
      <c r="F126" s="11" t="s">
        <v>140</v>
      </c>
      <c r="G126" s="16">
        <v>65</v>
      </c>
      <c r="H126" s="11" t="s">
        <v>149</v>
      </c>
      <c r="I126" s="8">
        <v>50</v>
      </c>
      <c r="J126" s="11" t="s">
        <v>164</v>
      </c>
      <c r="K126" s="18">
        <v>85</v>
      </c>
      <c r="L126" s="11" t="s">
        <v>188</v>
      </c>
      <c r="M126" s="16">
        <v>65</v>
      </c>
      <c r="N126" s="11" t="s">
        <v>130</v>
      </c>
      <c r="O126" s="11">
        <v>70</v>
      </c>
      <c r="P126" s="11" t="s">
        <v>223</v>
      </c>
      <c r="Q126" s="11"/>
      <c r="R126" s="11"/>
      <c r="S126" s="23">
        <v>80</v>
      </c>
      <c r="T126" s="11" t="s">
        <v>294</v>
      </c>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8">
        <f t="shared" si="3"/>
        <v>68.125</v>
      </c>
      <c r="BH126" s="12" t="str" cm="1">
        <f t="array" ref="BH126">_xlfn.TEXTJOIN(" ", TRUE, _xlfn._xlws.FILTER(C126:BF126, MOD(COLUMN(C126:BF126)-COLUMN(BJ126),2)=0))</f>
        <v>DOING GOOD CAN DO BETTER, SIMPLIFYING THE CONTOUR WELL GOOD IN CREATING SMOOTH SOFT EDGES AVERAGE PARTICEPATION INTERESTED IN DRAWING NEED TO REFINE THE FIGURE CONTINUE PRACTICING WITH DIFFERENT LINE WEIGHTS SHOWING WILLINGNESS IN DRAWING</v>
      </c>
      <c r="BI126" s="11"/>
      <c r="BJ126" s="11"/>
      <c r="BK126" s="11"/>
      <c r="BL126" s="11"/>
      <c r="BM126" s="11"/>
      <c r="BN126" s="11"/>
    </row>
    <row r="127" spans="1:66" ht="14.35" customHeight="1" x14ac:dyDescent="0.45">
      <c r="A127" s="29"/>
      <c r="B127" s="14" t="s">
        <v>44</v>
      </c>
      <c r="C127" s="8"/>
      <c r="D127" s="11" t="s">
        <v>99</v>
      </c>
      <c r="E127" s="8">
        <v>50</v>
      </c>
      <c r="F127" s="11" t="s">
        <v>98</v>
      </c>
      <c r="G127" s="8">
        <v>50</v>
      </c>
      <c r="H127" s="11" t="s">
        <v>122</v>
      </c>
      <c r="I127" s="8">
        <v>50</v>
      </c>
      <c r="J127" s="11" t="s">
        <v>168</v>
      </c>
      <c r="K127" s="18">
        <v>85</v>
      </c>
      <c r="L127" s="11" t="s">
        <v>122</v>
      </c>
      <c r="M127" s="11"/>
      <c r="N127" s="11"/>
      <c r="O127" s="11"/>
      <c r="P127" s="11"/>
      <c r="Q127" s="11">
        <v>50</v>
      </c>
      <c r="R127" s="11" t="s">
        <v>241</v>
      </c>
      <c r="S127" s="23">
        <v>80</v>
      </c>
      <c r="T127" s="11" t="s">
        <v>293</v>
      </c>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8">
        <f t="shared" si="3"/>
        <v>60.833333333333336</v>
      </c>
      <c r="BH127" s="12" t="str" cm="1">
        <f t="array" ref="BH127">_xlfn.TEXTJOIN(" ", TRUE, _xlfn._xlws.FILTER(C127:BF127, MOD(COLUMN(C127:BF127)-COLUMN(BJ127),2)=0))</f>
        <v>CLASS CANCELLED DOING GOOD NEED TO CONCENTRATE INTERESTED IN CARTOON STORIES GOOD IN READING NEED TO CONCENTRATE INTERESTED IN CARTOON STORIES INTERESTED IN READING,TRYING TO BUILD THE STORY LINE ,NEED TO BE CONFIDENT&amp;IN VOCABULARY PREFER ALL KIND OF BOOKS TO READ</v>
      </c>
      <c r="BI127" s="11"/>
      <c r="BJ127" s="11"/>
      <c r="BK127" s="11"/>
      <c r="BL127" s="11"/>
      <c r="BM127" s="11"/>
      <c r="BN127" s="11"/>
    </row>
    <row r="128" spans="1:66" ht="14.35" customHeight="1" x14ac:dyDescent="0.45">
      <c r="A128" s="30"/>
      <c r="B128" s="14" t="s">
        <v>45</v>
      </c>
      <c r="C128" s="8"/>
      <c r="D128" s="11"/>
      <c r="E128" s="8"/>
      <c r="F128" s="11"/>
      <c r="G128" s="8"/>
      <c r="H128" s="11"/>
      <c r="I128" s="8"/>
      <c r="J128" s="11"/>
      <c r="K128" s="8"/>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8" t="str">
        <f t="shared" si="3"/>
        <v/>
      </c>
      <c r="BH128" s="12" t="str" cm="1">
        <f t="array" ref="BH128">_xlfn.TEXTJOIN(" ", TRUE, _xlfn._xlws.FILTER(C128:BF128, MOD(COLUMN(C128:BF128)-COLUMN(BJ128),2)=0))</f>
        <v/>
      </c>
      <c r="BI128" s="11"/>
      <c r="BJ128" s="11"/>
      <c r="BK128" s="11"/>
      <c r="BL128" s="11"/>
      <c r="BM128" s="11"/>
      <c r="BN128" s="11"/>
    </row>
    <row r="129" spans="1:66" ht="14.35" customHeight="1" x14ac:dyDescent="0.45">
      <c r="A129" s="28" t="s">
        <v>62</v>
      </c>
      <c r="B129" s="14" t="s">
        <v>40</v>
      </c>
      <c r="C129" s="8"/>
      <c r="D129" s="11"/>
      <c r="E129" s="8"/>
      <c r="F129" s="11"/>
      <c r="G129" s="8"/>
      <c r="H129" s="11"/>
      <c r="I129" s="15"/>
      <c r="J129" s="11"/>
      <c r="K129" s="17">
        <v>78</v>
      </c>
      <c r="L129" s="11" t="s">
        <v>178</v>
      </c>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8">
        <f t="shared" si="3"/>
        <v>78</v>
      </c>
      <c r="BH129" s="12" t="str" cm="1">
        <f t="array" ref="BH129">_xlfn.TEXTJOIN(" ", TRUE, _xlfn._xlws.FILTER(C129:BF129, MOD(COLUMN(C129:BF129)-COLUMN(BJ129),2)=0))</f>
        <v>GOOD IN BIOLOGY</v>
      </c>
      <c r="BI129" s="11"/>
      <c r="BJ129" s="11"/>
      <c r="BK129" s="11"/>
      <c r="BL129" s="11"/>
      <c r="BM129" s="11"/>
      <c r="BN129" s="11"/>
    </row>
    <row r="130" spans="1:66" ht="14.35" customHeight="1" x14ac:dyDescent="0.45">
      <c r="A130" s="29"/>
      <c r="B130" s="14" t="s">
        <v>41</v>
      </c>
      <c r="C130" s="8">
        <v>50</v>
      </c>
      <c r="D130" s="11" t="s">
        <v>101</v>
      </c>
      <c r="E130" s="16">
        <v>65</v>
      </c>
      <c r="F130" s="11" t="s">
        <v>102</v>
      </c>
      <c r="G130" s="8">
        <v>75</v>
      </c>
      <c r="H130" s="11" t="s">
        <v>103</v>
      </c>
      <c r="I130" s="18">
        <v>85</v>
      </c>
      <c r="J130" s="11" t="s">
        <v>103</v>
      </c>
      <c r="K130" s="8">
        <v>75</v>
      </c>
      <c r="L130" s="11" t="s">
        <v>192</v>
      </c>
      <c r="M130" s="18">
        <v>85</v>
      </c>
      <c r="N130" s="11" t="s">
        <v>103</v>
      </c>
      <c r="O130" s="11"/>
      <c r="P130" s="11"/>
      <c r="Q130" s="11"/>
      <c r="R130" s="11"/>
      <c r="S130" s="26">
        <v>85</v>
      </c>
      <c r="T130" s="11" t="s">
        <v>312</v>
      </c>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8">
        <f t="shared" si="3"/>
        <v>74.285714285714292</v>
      </c>
      <c r="BH130" s="12" t="str" cm="1">
        <f t="array" ref="BH130">_xlfn.TEXTJOIN(" ", TRUE, _xlfn._xlws.FILTER(C130:BF130, MOD(COLUMN(C130:BF130)-COLUMN(BJ130),2)=0))</f>
        <v>GOOD IN PLAYING FOOTBALL GOOD IN PLAYING SHUTTLE PLAYING WELL SHUTTLE PLAYING WELL SHUTTLE INTERESTED IN SHUTTLE PLAYING WELL SHUTTLE INTERESTED IN VOLLEYBALL,THROWBALL</v>
      </c>
      <c r="BI130" s="11"/>
      <c r="BJ130" s="11"/>
      <c r="BK130" s="11"/>
      <c r="BL130" s="11"/>
      <c r="BM130" s="11"/>
      <c r="BN130" s="11"/>
    </row>
    <row r="131" spans="1:66" ht="14.35" customHeight="1" x14ac:dyDescent="0.45">
      <c r="A131" s="29"/>
      <c r="B131" s="14" t="s">
        <v>42</v>
      </c>
      <c r="C131" s="8">
        <v>50</v>
      </c>
      <c r="D131" s="11" t="s">
        <v>105</v>
      </c>
      <c r="E131" s="8">
        <v>50</v>
      </c>
      <c r="F131" s="11" t="s">
        <v>106</v>
      </c>
      <c r="G131" s="8">
        <v>50</v>
      </c>
      <c r="H131" s="11" t="s">
        <v>107</v>
      </c>
      <c r="I131" s="16">
        <v>65</v>
      </c>
      <c r="J131" s="11" t="s">
        <v>157</v>
      </c>
      <c r="K131" s="18">
        <v>85</v>
      </c>
      <c r="L131" s="11" t="s">
        <v>193</v>
      </c>
      <c r="M131" s="16">
        <v>65</v>
      </c>
      <c r="N131" s="11" t="s">
        <v>157</v>
      </c>
      <c r="O131" s="11"/>
      <c r="P131" s="11"/>
      <c r="Q131" s="11"/>
      <c r="R131" s="11"/>
      <c r="S131" s="26">
        <v>85</v>
      </c>
      <c r="T131" s="11" t="s">
        <v>308</v>
      </c>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8">
        <f t="shared" si="3"/>
        <v>64.285714285714292</v>
      </c>
      <c r="BH131" s="12" t="str" cm="1">
        <f t="array" ref="BH131">_xlfn.TEXTJOIN(" ", TRUE, _xlfn._xlws.FILTER(C131:BF131, MOD(COLUMN(C131:BF131)-COLUMN(BJ131),2)=0))</f>
        <v>SHOWING INTEREST NEED TO PRATICE ANSWERING WELL PERFORMING WELL NEED MOTIVATION NEED MORE PRACTICE CAN DO BETTER  PERFORMING WELL NEED MOTIVATION INTERESTED IN DRAWING IN COMPUTER  PERFORMING WELL NEED MOTIVATION INTERESTED IN KRITA PROGRAMMING</v>
      </c>
      <c r="BI131" s="11"/>
      <c r="BJ131" s="11"/>
      <c r="BK131" s="11"/>
      <c r="BL131" s="11"/>
      <c r="BM131" s="11"/>
      <c r="BN131" s="11"/>
    </row>
    <row r="132" spans="1:66" ht="14.35" customHeight="1" x14ac:dyDescent="0.45">
      <c r="A132" s="29"/>
      <c r="B132" s="14" t="s">
        <v>43</v>
      </c>
      <c r="C132" s="16">
        <v>65</v>
      </c>
      <c r="D132" s="11" t="s">
        <v>81</v>
      </c>
      <c r="E132" s="16">
        <v>65</v>
      </c>
      <c r="F132" s="11" t="s">
        <v>139</v>
      </c>
      <c r="G132" s="16">
        <v>65</v>
      </c>
      <c r="H132" s="11" t="s">
        <v>153</v>
      </c>
      <c r="I132" s="16">
        <v>65</v>
      </c>
      <c r="J132" s="11" t="s">
        <v>165</v>
      </c>
      <c r="K132" s="8">
        <v>75</v>
      </c>
      <c r="L132" s="11" t="s">
        <v>188</v>
      </c>
      <c r="M132" s="11"/>
      <c r="N132" s="11" t="s">
        <v>208</v>
      </c>
      <c r="O132" s="11">
        <v>80</v>
      </c>
      <c r="P132" s="11" t="s">
        <v>229</v>
      </c>
      <c r="Q132" s="11"/>
      <c r="R132" s="11"/>
      <c r="S132" s="23">
        <v>80</v>
      </c>
      <c r="T132" s="11" t="s">
        <v>297</v>
      </c>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8">
        <f t="shared" si="3"/>
        <v>70.714285714285708</v>
      </c>
      <c r="BH132" s="12" t="str" cm="1">
        <f t="array" ref="BH132">_xlfn.TEXTJOIN(" ", TRUE, _xlfn._xlws.FILTER(C132:BF132, MOD(COLUMN(C132:BF132)-COLUMN(BJ132),2)=0))</f>
        <v>NEED TO IMPROVE NEED TO PRACTICE UTILIZING THE LINES NEATLY PERFORMING WELL NEED TO CONCENTRATE PERFORMING WELL NEED TO PRACTICE INTERESTED IN DRAWING WENT TO PARTICEPATE IN ELOCUTION GOOD IN CREATING A SERIES OF CONNECTED POINTS THAT FORM A LINE SHOWING PROGRESS IN DRAWING</v>
      </c>
      <c r="BI132" s="11"/>
      <c r="BJ132" s="11"/>
      <c r="BK132" s="11"/>
      <c r="BL132" s="11"/>
      <c r="BM132" s="11"/>
      <c r="BN132" s="11"/>
    </row>
    <row r="133" spans="1:66" ht="14.35" customHeight="1" x14ac:dyDescent="0.45">
      <c r="A133" s="29"/>
      <c r="B133" s="14" t="s">
        <v>44</v>
      </c>
      <c r="C133" s="8"/>
      <c r="D133" s="11" t="s">
        <v>99</v>
      </c>
      <c r="E133" s="8">
        <v>50</v>
      </c>
      <c r="F133" s="11" t="s">
        <v>98</v>
      </c>
      <c r="G133" s="8">
        <v>50</v>
      </c>
      <c r="H133" s="11" t="s">
        <v>113</v>
      </c>
      <c r="I133" s="8">
        <v>25</v>
      </c>
      <c r="J133" s="11" t="s">
        <v>171</v>
      </c>
      <c r="K133" s="18">
        <v>85</v>
      </c>
      <c r="L133" s="11" t="s">
        <v>195</v>
      </c>
      <c r="M133" s="11"/>
      <c r="N133" s="11"/>
      <c r="O133" s="11"/>
      <c r="P133" s="11"/>
      <c r="Q133" s="11">
        <v>50</v>
      </c>
      <c r="R133" s="11" t="s">
        <v>237</v>
      </c>
      <c r="S133" s="23">
        <v>80</v>
      </c>
      <c r="T133" s="11" t="s">
        <v>309</v>
      </c>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8">
        <f t="shared" si="3"/>
        <v>56.666666666666664</v>
      </c>
      <c r="BH133" s="12" t="str" cm="1">
        <f t="array" ref="BH133">_xlfn.TEXTJOIN(" ", TRUE, _xlfn._xlws.FILTER(C133:BF133, MOD(COLUMN(C133:BF133)-COLUMN(BJ133),2)=0))</f>
        <v>CLASS CANCELLED DOING GOOD NEED TO CONCENTRATE INTERESTED IN HISTORIC STORIES JUST PARTCIPATION INTERESTED IN HISTORY BOOKS TRYING TO FIGURE OUT THE STORY,BUT NEED TO IMPROVE VOCABULARY PREFER MORAL STORIES TO READ</v>
      </c>
      <c r="BI133" s="11"/>
      <c r="BJ133" s="11"/>
      <c r="BK133" s="11"/>
      <c r="BL133" s="11"/>
      <c r="BM133" s="11"/>
      <c r="BN133" s="11"/>
    </row>
    <row r="134" spans="1:66" ht="14.35" customHeight="1" x14ac:dyDescent="0.45">
      <c r="A134" s="30"/>
      <c r="B134" s="14" t="s">
        <v>45</v>
      </c>
      <c r="C134" s="8"/>
      <c r="D134" s="11"/>
      <c r="E134" s="8"/>
      <c r="F134" s="11"/>
      <c r="G134" s="8"/>
      <c r="H134" s="11"/>
      <c r="I134" s="8"/>
      <c r="J134" s="11"/>
      <c r="K134" s="8"/>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8" t="str">
        <f t="shared" si="3"/>
        <v/>
      </c>
      <c r="BH134" s="12" t="str" cm="1">
        <f t="array" ref="BH134">_xlfn.TEXTJOIN(" ", TRUE, _xlfn._xlws.FILTER(C134:BF134, MOD(COLUMN(C134:BF134)-COLUMN(BJ134),2)=0))</f>
        <v/>
      </c>
      <c r="BI134" s="11"/>
      <c r="BJ134" s="11"/>
      <c r="BK134" s="11"/>
      <c r="BL134" s="11"/>
      <c r="BM134" s="11"/>
      <c r="BN134" s="11"/>
    </row>
    <row r="135" spans="1:66" ht="14.35" customHeight="1" x14ac:dyDescent="0.45">
      <c r="A135" s="28" t="s">
        <v>179</v>
      </c>
      <c r="B135" s="14" t="s">
        <v>40</v>
      </c>
      <c r="C135" s="8"/>
      <c r="D135" s="11"/>
      <c r="E135" s="8"/>
      <c r="F135" s="11"/>
      <c r="G135" s="8"/>
      <c r="H135" s="11"/>
      <c r="I135" s="8"/>
      <c r="J135" s="11"/>
      <c r="K135" s="8"/>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8" t="str">
        <f t="shared" si="3"/>
        <v/>
      </c>
      <c r="BH135" s="12" t="str" cm="1">
        <f t="array" ref="BH135">_xlfn.TEXTJOIN(" ", TRUE, _xlfn._xlws.FILTER(C135:BF135, MOD(COLUMN(C135:BF135)-COLUMN(BJ135),2)=0))</f>
        <v/>
      </c>
      <c r="BI135" s="11"/>
      <c r="BJ135" s="11"/>
      <c r="BK135" s="11"/>
      <c r="BL135" s="11"/>
      <c r="BM135" s="11"/>
      <c r="BN135" s="11"/>
    </row>
    <row r="136" spans="1:66" ht="14.35" customHeight="1" x14ac:dyDescent="0.45">
      <c r="A136" s="29"/>
      <c r="B136" s="14" t="s">
        <v>41</v>
      </c>
      <c r="C136" s="8">
        <v>50</v>
      </c>
      <c r="D136" s="11" t="s">
        <v>101</v>
      </c>
      <c r="E136" s="16">
        <v>65</v>
      </c>
      <c r="F136" s="11" t="s">
        <v>102</v>
      </c>
      <c r="G136" s="8">
        <v>75</v>
      </c>
      <c r="H136" s="11" t="s">
        <v>103</v>
      </c>
      <c r="I136" s="18">
        <v>85</v>
      </c>
      <c r="J136" s="11" t="s">
        <v>103</v>
      </c>
      <c r="K136" s="8"/>
      <c r="L136" s="11"/>
      <c r="M136" s="18">
        <v>85</v>
      </c>
      <c r="N136" s="11" t="s">
        <v>103</v>
      </c>
      <c r="O136" s="11"/>
      <c r="P136" s="11"/>
      <c r="Q136" s="11"/>
      <c r="R136" s="11"/>
      <c r="S136" s="26">
        <v>85</v>
      </c>
      <c r="T136" s="11" t="s">
        <v>302</v>
      </c>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8">
        <f t="shared" si="3"/>
        <v>74.166666666666671</v>
      </c>
      <c r="BH136" s="12" t="str" cm="1">
        <f t="array" ref="BH136">_xlfn.TEXTJOIN(" ", TRUE, _xlfn._xlws.FILTER(C136:BF136, MOD(COLUMN(C136:BF136)-COLUMN(BJ136),2)=0))</f>
        <v>GOOD IN PLAYING FOOTBALL GOOD IN PLAYING SHUTTLE PLAYING WELL SHUTTLE PLAYING WELL SHUTTLE PLAYING WELL SHUTTLE INTERESTED IN KHOKHO,KHABADI</v>
      </c>
      <c r="BI136" s="11"/>
      <c r="BJ136" s="11"/>
      <c r="BK136" s="11"/>
      <c r="BL136" s="11"/>
      <c r="BM136" s="11"/>
      <c r="BN136" s="11"/>
    </row>
    <row r="137" spans="1:66" ht="14.35" customHeight="1" x14ac:dyDescent="0.45">
      <c r="A137" s="29"/>
      <c r="B137" s="14" t="s">
        <v>42</v>
      </c>
      <c r="C137" s="8">
        <v>50</v>
      </c>
      <c r="D137" s="11" t="s">
        <v>105</v>
      </c>
      <c r="E137" s="8">
        <v>50</v>
      </c>
      <c r="F137" s="11" t="s">
        <v>106</v>
      </c>
      <c r="G137" s="8">
        <v>50</v>
      </c>
      <c r="H137" s="11" t="s">
        <v>107</v>
      </c>
      <c r="I137" s="16">
        <v>65</v>
      </c>
      <c r="J137" s="11" t="s">
        <v>157</v>
      </c>
      <c r="K137" s="8" t="s">
        <v>72</v>
      </c>
      <c r="L137" s="11" t="s">
        <v>86</v>
      </c>
      <c r="M137" s="16">
        <v>65</v>
      </c>
      <c r="N137" s="11" t="s">
        <v>157</v>
      </c>
      <c r="O137" s="11"/>
      <c r="P137" s="11"/>
      <c r="Q137" s="11"/>
      <c r="R137" s="11"/>
      <c r="S137" s="23">
        <v>80</v>
      </c>
      <c r="T137" s="11" t="s">
        <v>243</v>
      </c>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8">
        <f t="shared" si="3"/>
        <v>60</v>
      </c>
      <c r="BH137" s="12" t="str" cm="1">
        <f t="array" ref="BH137">_xlfn.TEXTJOIN(" ", TRUE, _xlfn._xlws.FILTER(C137:BF137, MOD(COLUMN(C137:BF137)-COLUMN(BJ137),2)=0))</f>
        <v>SHOWING INTEREST NEED TO PRATICE ANSWERING WELL PERFORMING WELL NEED MOTIVATION NEED MORE PRACTICE CAN DO BETTER  PERFORMING WELL NEED MOTIVATION ABSENT  PERFORMING WELL NEED MOTIVATION BASIC SKILLS LIKE TYPING &amp;DRAWING</v>
      </c>
      <c r="BI137" s="11"/>
      <c r="BJ137" s="11"/>
      <c r="BK137" s="11"/>
      <c r="BL137" s="11"/>
      <c r="BM137" s="11"/>
      <c r="BN137" s="11"/>
    </row>
    <row r="138" spans="1:66" ht="14.35" customHeight="1" x14ac:dyDescent="0.45">
      <c r="A138" s="29"/>
      <c r="B138" s="14" t="s">
        <v>43</v>
      </c>
      <c r="C138" s="8">
        <v>50</v>
      </c>
      <c r="D138" s="11" t="s">
        <v>84</v>
      </c>
      <c r="E138" s="16">
        <v>65</v>
      </c>
      <c r="F138" s="11" t="s">
        <v>138</v>
      </c>
      <c r="G138" s="16">
        <v>50</v>
      </c>
      <c r="H138" s="11" t="s">
        <v>117</v>
      </c>
      <c r="I138" s="8">
        <v>75</v>
      </c>
      <c r="J138" s="11" t="s">
        <v>138</v>
      </c>
      <c r="K138" s="8"/>
      <c r="L138" s="11"/>
      <c r="M138" s="11"/>
      <c r="N138" s="11" t="s">
        <v>208</v>
      </c>
      <c r="O138" s="11">
        <v>70</v>
      </c>
      <c r="P138" s="11" t="s">
        <v>228</v>
      </c>
      <c r="Q138" s="11"/>
      <c r="R138" s="11"/>
      <c r="S138" s="26">
        <v>85</v>
      </c>
      <c r="T138" s="11" t="s">
        <v>131</v>
      </c>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8">
        <f t="shared" si="3"/>
        <v>65.833333333333329</v>
      </c>
      <c r="BH138" s="12" t="str" cm="1">
        <f t="array" ref="BH138">_xlfn.TEXTJOIN(" ", TRUE, _xlfn._xlws.FILTER(C138:BF138, MOD(COLUMN(C138:BF138)-COLUMN(BJ138),2)=0))</f>
        <v>DOING GOOD NEED TO PRACTICE EVALUATING THE CLOURING WELL AVERAGE PARTICIPATION EVALUATING THE CLOURING WELL WENT TO PARTICEPATE IN ELOCUTION NEED TO REDUCE THE PRESSURE ON THE PENCIL TRYING TO SIMPLIFY THE FIGURE</v>
      </c>
      <c r="BI138" s="11"/>
      <c r="BJ138" s="11"/>
      <c r="BK138" s="11"/>
      <c r="BL138" s="11"/>
      <c r="BM138" s="11"/>
      <c r="BN138" s="11"/>
    </row>
    <row r="139" spans="1:66" ht="14.35" customHeight="1" x14ac:dyDescent="0.45">
      <c r="A139" s="29"/>
      <c r="B139" s="14" t="s">
        <v>44</v>
      </c>
      <c r="C139" s="8"/>
      <c r="D139" s="11" t="s">
        <v>99</v>
      </c>
      <c r="E139" s="8">
        <v>50</v>
      </c>
      <c r="F139" s="11" t="s">
        <v>98</v>
      </c>
      <c r="G139" s="8">
        <v>50</v>
      </c>
      <c r="H139" s="11" t="s">
        <v>109</v>
      </c>
      <c r="I139" s="8">
        <v>50</v>
      </c>
      <c r="J139" s="11" t="s">
        <v>168</v>
      </c>
      <c r="K139" s="8"/>
      <c r="L139" s="11"/>
      <c r="M139" s="11"/>
      <c r="N139" s="11"/>
      <c r="O139" s="11"/>
      <c r="P139" s="11"/>
      <c r="Q139" s="11"/>
      <c r="R139" s="11"/>
      <c r="S139" s="23">
        <v>80</v>
      </c>
      <c r="T139" s="11" t="s">
        <v>313</v>
      </c>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8">
        <f t="shared" si="3"/>
        <v>57.5</v>
      </c>
      <c r="BH139" s="12" t="str" cm="1">
        <f t="array" ref="BH139">_xlfn.TEXTJOIN(" ", TRUE, _xlfn._xlws.FILTER(C139:BF139, MOD(COLUMN(C139:BF139)-COLUMN(BJ139),2)=0))</f>
        <v>CLASS CANCELLED DOING GOOD NEED TO CONCENTRATE SHOWING INTEREST IN READING GOOD IN READING NEED TO CONCENTRATE PREFER FAIRY TALES BOOKS TO READ</v>
      </c>
      <c r="BI139" s="11"/>
      <c r="BJ139" s="11"/>
      <c r="BK139" s="11"/>
      <c r="BL139" s="11"/>
      <c r="BM139" s="11"/>
      <c r="BN139" s="11"/>
    </row>
    <row r="140" spans="1:66" ht="14.35" customHeight="1" x14ac:dyDescent="0.45">
      <c r="A140" s="30"/>
      <c r="B140" s="14" t="s">
        <v>45</v>
      </c>
      <c r="C140" s="8"/>
      <c r="D140" s="11"/>
      <c r="E140" s="8"/>
      <c r="F140" s="11"/>
      <c r="G140" s="8"/>
      <c r="H140" s="11"/>
      <c r="I140" s="8"/>
      <c r="J140" s="11"/>
      <c r="K140" s="8"/>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8" t="str">
        <f t="shared" si="3"/>
        <v/>
      </c>
      <c r="BH140" s="12" t="str" cm="1">
        <f t="array" ref="BH140">_xlfn.TEXTJOIN(" ", TRUE, _xlfn._xlws.FILTER(C140:BF140, MOD(COLUMN(C140:BF140)-COLUMN(BJ140),2)=0))</f>
        <v/>
      </c>
      <c r="BI140" s="11"/>
      <c r="BJ140" s="11"/>
      <c r="BK140" s="11"/>
      <c r="BL140" s="11"/>
      <c r="BM140" s="11"/>
      <c r="BN140" s="11"/>
    </row>
    <row r="141" spans="1:66" ht="14.35" customHeight="1" x14ac:dyDescent="0.45">
      <c r="A141" s="28" t="s">
        <v>89</v>
      </c>
      <c r="B141" s="14" t="s">
        <v>40</v>
      </c>
      <c r="C141" s="8"/>
      <c r="D141" s="11"/>
      <c r="E141" s="8"/>
      <c r="F141" s="11"/>
      <c r="G141" s="8"/>
      <c r="H141" s="11"/>
      <c r="I141" s="8"/>
      <c r="J141" s="11"/>
      <c r="K141" s="17">
        <v>61</v>
      </c>
      <c r="L141" s="11" t="s">
        <v>178</v>
      </c>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8">
        <f t="shared" si="3"/>
        <v>61</v>
      </c>
      <c r="BH141" s="12" t="str" cm="1">
        <f t="array" ref="BH141">_xlfn.TEXTJOIN(" ", TRUE, _xlfn._xlws.FILTER(C141:BF141, MOD(COLUMN(C141:BF141)-COLUMN(BJ141),2)=0))</f>
        <v>GOOD IN BIOLOGY</v>
      </c>
      <c r="BI141" s="11"/>
      <c r="BJ141" s="11"/>
      <c r="BK141" s="11"/>
      <c r="BL141" s="11"/>
      <c r="BM141" s="11"/>
      <c r="BN141" s="11"/>
    </row>
    <row r="142" spans="1:66" ht="14.35" customHeight="1" x14ac:dyDescent="0.45">
      <c r="A142" s="29"/>
      <c r="B142" s="14" t="s">
        <v>41</v>
      </c>
      <c r="C142" s="8">
        <v>50</v>
      </c>
      <c r="D142" s="11" t="s">
        <v>101</v>
      </c>
      <c r="E142" s="16">
        <v>65</v>
      </c>
      <c r="F142" s="11" t="s">
        <v>102</v>
      </c>
      <c r="G142" s="8">
        <v>75</v>
      </c>
      <c r="H142" s="11" t="s">
        <v>103</v>
      </c>
      <c r="I142" s="18">
        <v>85</v>
      </c>
      <c r="J142" s="11" t="s">
        <v>103</v>
      </c>
      <c r="K142" s="18">
        <v>85</v>
      </c>
      <c r="L142" s="11" t="s">
        <v>190</v>
      </c>
      <c r="M142" s="18">
        <v>85</v>
      </c>
      <c r="N142" s="11" t="s">
        <v>103</v>
      </c>
      <c r="O142" s="11"/>
      <c r="P142" s="11"/>
      <c r="Q142" s="11"/>
      <c r="R142" s="11"/>
      <c r="S142" s="26">
        <v>85</v>
      </c>
      <c r="T142" s="11" t="s">
        <v>274</v>
      </c>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8">
        <f t="shared" si="3"/>
        <v>75.714285714285708</v>
      </c>
      <c r="BH142" s="12" t="str" cm="1">
        <f t="array" ref="BH142">_xlfn.TEXTJOIN(" ", TRUE, _xlfn._xlws.FILTER(C142:BF142, MOD(COLUMN(C142:BF142)-COLUMN(BJ142),2)=0))</f>
        <v xml:space="preserve">GOOD IN PLAYING FOOTBALL GOOD IN PLAYING SHUTTLE PLAYING WELL SHUTTLE PLAYING WELL SHUTTLE INTERESTED IN KHO-KHO PLAYING WELL SHUTTLE INTERESTED IN VOLLEYBALL&amp;KHOKHO,RUNNER IN KHOKHO </v>
      </c>
      <c r="BI142" s="11"/>
      <c r="BJ142" s="11"/>
      <c r="BK142" s="11"/>
      <c r="BL142" s="11"/>
      <c r="BM142" s="11"/>
      <c r="BN142" s="11"/>
    </row>
    <row r="143" spans="1:66" ht="14.35" customHeight="1" x14ac:dyDescent="0.45">
      <c r="A143" s="29"/>
      <c r="B143" s="14" t="s">
        <v>42</v>
      </c>
      <c r="C143" s="8">
        <v>50</v>
      </c>
      <c r="D143" s="11" t="s">
        <v>105</v>
      </c>
      <c r="E143" s="8">
        <v>50</v>
      </c>
      <c r="F143" s="11" t="s">
        <v>106</v>
      </c>
      <c r="G143" s="8">
        <v>50</v>
      </c>
      <c r="H143" s="11" t="s">
        <v>107</v>
      </c>
      <c r="I143" s="16">
        <v>65</v>
      </c>
      <c r="J143" s="11" t="s">
        <v>157</v>
      </c>
      <c r="K143" s="8">
        <v>75</v>
      </c>
      <c r="L143" s="11" t="s">
        <v>193</v>
      </c>
      <c r="M143" s="16">
        <v>65</v>
      </c>
      <c r="N143" s="11" t="s">
        <v>157</v>
      </c>
      <c r="O143" s="11"/>
      <c r="P143" s="11"/>
      <c r="Q143" s="11"/>
      <c r="R143" s="11"/>
      <c r="S143" s="24">
        <v>90</v>
      </c>
      <c r="T143" s="11" t="s">
        <v>275</v>
      </c>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8">
        <f t="shared" si="3"/>
        <v>63.571428571428569</v>
      </c>
      <c r="BH143" s="12" t="str" cm="1">
        <f t="array" ref="BH143">_xlfn.TEXTJOIN(" ", TRUE, _xlfn._xlws.FILTER(C143:BF143, MOD(COLUMN(C143:BF143)-COLUMN(BJ143),2)=0))</f>
        <v>SHOWING INTEREST NEED TO PRATICE ANSWERING WELL PERFORMING WELL NEED MOTIVATION NEED MORE PRACTICE CAN DO BETTER  PERFORMING WELL NEED MOTIVATION INTERESTED IN DRAWING IN COMPUTER  PERFORMING WELL NEED MOTIVATION LEARNING ABOUT POWERPOINT.AT HOME SHE IS PRACTICING SHE IS LEARNING NEW SKILLS</v>
      </c>
      <c r="BI143" s="11"/>
      <c r="BJ143" s="11"/>
      <c r="BK143" s="11"/>
      <c r="BL143" s="11"/>
      <c r="BM143" s="11"/>
      <c r="BN143" s="11"/>
    </row>
    <row r="144" spans="1:66" ht="14.35" customHeight="1" x14ac:dyDescent="0.45">
      <c r="A144" s="29"/>
      <c r="B144" s="14" t="s">
        <v>43</v>
      </c>
      <c r="C144" s="8"/>
      <c r="D144" s="11" t="s">
        <v>74</v>
      </c>
      <c r="E144" s="8">
        <v>50</v>
      </c>
      <c r="F144" s="11" t="s">
        <v>127</v>
      </c>
      <c r="G144" s="16">
        <v>65</v>
      </c>
      <c r="H144" s="11" t="s">
        <v>142</v>
      </c>
      <c r="I144" s="8">
        <v>75</v>
      </c>
      <c r="J144" s="11" t="s">
        <v>133</v>
      </c>
      <c r="K144" s="18">
        <v>85</v>
      </c>
      <c r="L144" s="11" t="s">
        <v>188</v>
      </c>
      <c r="M144" s="11"/>
      <c r="N144" s="11" t="s">
        <v>208</v>
      </c>
      <c r="O144" s="11">
        <v>70</v>
      </c>
      <c r="P144" s="11" t="s">
        <v>227</v>
      </c>
      <c r="Q144" s="11"/>
      <c r="R144" s="11"/>
      <c r="S144" s="24">
        <v>90</v>
      </c>
      <c r="T144" s="11" t="s">
        <v>289</v>
      </c>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8">
        <f t="shared" si="3"/>
        <v>72.5</v>
      </c>
      <c r="BH144" s="12" t="str" cm="1">
        <f t="array" ref="BH144">_xlfn.TEXTJOIN(" ", TRUE, _xlfn._xlws.FILTER(C144:BF144, MOD(COLUMN(C144:BF144)-COLUMN(BJ144),2)=0))</f>
        <v>NOT ATTENDED THE CLASS WENT TO ESSAY WRITING BIT SLOW IN THE CLASS NEED TO PRACTICE ILLUMINATING THE SHADOWED AREA OF THE OBJECT GOOD IN VISUAL COMPONENTS INTERESTED IN DRAWING WENT TO PARTICEPATE IN ELOCUTION CONTINUE PRACTICING BY FOLLOWING THE MEASUREMENTS PROPERLY GOOD IN ILLUMINATING THE AREA OF THE OBJECT</v>
      </c>
      <c r="BI144" s="11"/>
      <c r="BJ144" s="11"/>
      <c r="BK144" s="11"/>
      <c r="BL144" s="11"/>
      <c r="BM144" s="11"/>
      <c r="BN144" s="11"/>
    </row>
    <row r="145" spans="1:66" ht="14.35" customHeight="1" x14ac:dyDescent="0.45">
      <c r="A145" s="29"/>
      <c r="B145" s="14" t="s">
        <v>44</v>
      </c>
      <c r="C145" s="8"/>
      <c r="D145" s="11" t="s">
        <v>99</v>
      </c>
      <c r="E145" s="16">
        <v>65</v>
      </c>
      <c r="F145" s="11" t="s">
        <v>90</v>
      </c>
      <c r="G145" s="8">
        <v>50</v>
      </c>
      <c r="H145" s="11" t="s">
        <v>120</v>
      </c>
      <c r="I145" s="8">
        <v>50</v>
      </c>
      <c r="J145" s="11" t="s">
        <v>169</v>
      </c>
      <c r="K145" s="18">
        <v>85</v>
      </c>
      <c r="L145" s="11" t="s">
        <v>194</v>
      </c>
      <c r="M145" s="11"/>
      <c r="N145" s="11"/>
      <c r="O145" s="11"/>
      <c r="P145" s="11"/>
      <c r="Q145" s="11">
        <v>60</v>
      </c>
      <c r="R145" s="11" t="s">
        <v>238</v>
      </c>
      <c r="S145" s="24">
        <v>90</v>
      </c>
      <c r="T145" s="11" t="s">
        <v>290</v>
      </c>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8">
        <f t="shared" si="3"/>
        <v>66.666666666666671</v>
      </c>
      <c r="BH145" s="12" t="str" cm="1">
        <f t="array" ref="BH145">_xlfn.TEXTJOIN(" ", TRUE, _xlfn._xlws.FILTER(C145:BF145, MOD(COLUMN(C145:BF145)-COLUMN(BJ145),2)=0))</f>
        <v>CLASS CANCELLED INTEREST IN COMICS BOOKS IN PANCHATHANTRA WITH CONCENTRATLY READING GOOD IN READING CAN IMPROVE GOOD IN READING NNED TO PAY ATTENTION INTERESTED IN PANCHATANTRA COMICS BOOKS VERY GOOD AND INTERESTED IN (COMIC)STORIES,NEED TO BUILD STORY LINE PROPERLY INTERESTED IN MORAL STORIES&amp; COMIC BOOKS EVEN WATCH STORIES IN PHONE AT FREE TIME</v>
      </c>
      <c r="BI145" s="11"/>
      <c r="BJ145" s="11"/>
      <c r="BK145" s="11"/>
      <c r="BL145" s="11"/>
      <c r="BM145" s="11"/>
      <c r="BN145" s="11"/>
    </row>
    <row r="146" spans="1:66" ht="14.35" customHeight="1" x14ac:dyDescent="0.45">
      <c r="A146" s="30"/>
      <c r="B146" s="14" t="s">
        <v>45</v>
      </c>
      <c r="C146" s="8"/>
      <c r="D146" s="11"/>
      <c r="E146" s="8"/>
      <c r="F146" s="11"/>
      <c r="G146" s="8"/>
      <c r="H146" s="11"/>
      <c r="I146" s="8"/>
      <c r="J146" s="11"/>
      <c r="K146" s="8"/>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8" t="str">
        <f t="shared" si="3"/>
        <v/>
      </c>
      <c r="BH146" s="12" t="str" cm="1">
        <f t="array" ref="BH146">_xlfn.TEXTJOIN(" ", TRUE, _xlfn._xlws.FILTER(C146:BF146, MOD(COLUMN(C146:BF146)-COLUMN(BJ146),2)=0))</f>
        <v/>
      </c>
      <c r="BI146" s="11"/>
      <c r="BJ146" s="11"/>
      <c r="BK146" s="11"/>
      <c r="BL146" s="11"/>
      <c r="BM146" s="11"/>
      <c r="BN146" s="11"/>
    </row>
    <row r="147" spans="1:66" ht="14.35" customHeight="1" x14ac:dyDescent="0.45">
      <c r="A147" s="28" t="s">
        <v>63</v>
      </c>
      <c r="B147" s="14" t="s">
        <v>40</v>
      </c>
      <c r="C147" s="8"/>
      <c r="D147" s="11"/>
      <c r="E147" s="8"/>
      <c r="F147" s="11"/>
      <c r="G147" s="8"/>
      <c r="H147" s="11"/>
      <c r="I147" s="8"/>
      <c r="J147" s="11"/>
      <c r="K147" s="17">
        <v>56</v>
      </c>
      <c r="L147" s="11" t="s">
        <v>178</v>
      </c>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8">
        <f t="shared" si="3"/>
        <v>56</v>
      </c>
      <c r="BH147" s="12" t="str" cm="1">
        <f t="array" ref="BH147">_xlfn.TEXTJOIN(" ", TRUE, _xlfn._xlws.FILTER(C147:BF147, MOD(COLUMN(C147:BF147)-COLUMN(BJ147),2)=0))</f>
        <v>GOOD IN BIOLOGY</v>
      </c>
      <c r="BI147" s="11"/>
      <c r="BJ147" s="11"/>
      <c r="BK147" s="11"/>
      <c r="BL147" s="11"/>
      <c r="BM147" s="11"/>
      <c r="BN147" s="11"/>
    </row>
    <row r="148" spans="1:66" ht="14.35" customHeight="1" x14ac:dyDescent="0.45">
      <c r="A148" s="29"/>
      <c r="B148" s="14" t="s">
        <v>41</v>
      </c>
      <c r="C148" s="8">
        <v>50</v>
      </c>
      <c r="D148" s="11" t="s">
        <v>101</v>
      </c>
      <c r="E148" s="16">
        <v>65</v>
      </c>
      <c r="F148" s="11" t="s">
        <v>102</v>
      </c>
      <c r="G148" s="8">
        <v>75</v>
      </c>
      <c r="H148" s="11" t="s">
        <v>103</v>
      </c>
      <c r="I148" s="18">
        <v>85</v>
      </c>
      <c r="J148" s="11" t="s">
        <v>103</v>
      </c>
      <c r="K148" s="18">
        <v>85</v>
      </c>
      <c r="L148" s="11" t="s">
        <v>192</v>
      </c>
      <c r="M148" s="18">
        <v>85</v>
      </c>
      <c r="N148" s="11" t="s">
        <v>103</v>
      </c>
      <c r="O148" s="11"/>
      <c r="P148" s="11"/>
      <c r="Q148" s="11"/>
      <c r="R148" s="11"/>
      <c r="S148" s="23">
        <v>80</v>
      </c>
      <c r="T148" s="11" t="s">
        <v>272</v>
      </c>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8">
        <f t="shared" si="3"/>
        <v>75</v>
      </c>
      <c r="BH148" s="12" t="str" cm="1">
        <f t="array" ref="BH148">_xlfn.TEXTJOIN(" ", TRUE, _xlfn._xlws.FILTER(C148:BF148, MOD(COLUMN(C148:BF148)-COLUMN(BJ148),2)=0))</f>
        <v>GOOD IN PLAYING FOOTBALL GOOD IN PLAYING SHUTTLE PLAYING WELL SHUTTLE PLAYING WELL SHUTTLE INTERESTED IN SHUTTLE PLAYING WELL SHUTTLE INTERESTED IN KHO KHO ,THROWBALL</v>
      </c>
      <c r="BI148" s="11"/>
      <c r="BJ148" s="11"/>
      <c r="BK148" s="11"/>
      <c r="BL148" s="11"/>
      <c r="BM148" s="11"/>
      <c r="BN148" s="11"/>
    </row>
    <row r="149" spans="1:66" ht="14.35" customHeight="1" x14ac:dyDescent="0.45">
      <c r="A149" s="29"/>
      <c r="B149" s="14" t="s">
        <v>42</v>
      </c>
      <c r="C149" s="8">
        <v>50</v>
      </c>
      <c r="D149" s="11" t="s">
        <v>105</v>
      </c>
      <c r="E149" s="8">
        <v>50</v>
      </c>
      <c r="F149" s="11" t="s">
        <v>106</v>
      </c>
      <c r="G149" s="8">
        <v>50</v>
      </c>
      <c r="H149" s="11" t="s">
        <v>107</v>
      </c>
      <c r="I149" s="16">
        <v>65</v>
      </c>
      <c r="J149" s="11" t="s">
        <v>157</v>
      </c>
      <c r="K149" s="8">
        <v>75</v>
      </c>
      <c r="L149" s="11" t="s">
        <v>193</v>
      </c>
      <c r="M149" s="16">
        <v>65</v>
      </c>
      <c r="N149" s="11" t="s">
        <v>157</v>
      </c>
      <c r="O149" s="11"/>
      <c r="P149" s="11"/>
      <c r="Q149" s="11"/>
      <c r="R149" s="11"/>
      <c r="S149" s="11">
        <v>75</v>
      </c>
      <c r="T149" s="11" t="s">
        <v>258</v>
      </c>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8">
        <f t="shared" si="3"/>
        <v>61.428571428571431</v>
      </c>
      <c r="BH149" s="12" t="str" cm="1">
        <f t="array" ref="BH149">_xlfn.TEXTJOIN(" ", TRUE, _xlfn._xlws.FILTER(C149:BF149, MOD(COLUMN(C149:BF149)-COLUMN(BJ149),2)=0))</f>
        <v>SHOWING INTEREST NEED TO PRATICE ANSWERING WELL PERFORMING WELL NEED MOTIVATION NEED MORE PRACTICE CAN DO BETTER  PERFORMING WELL NEED MOTIVATION INTERESTED IN DRAWING IN COMPUTER  PERFORMING WELL NEED MOTIVATION BASIC SKILLS LIKE TYPING</v>
      </c>
      <c r="BI149" s="11"/>
      <c r="BJ149" s="11"/>
      <c r="BK149" s="11"/>
      <c r="BL149" s="11"/>
      <c r="BM149" s="11"/>
      <c r="BN149" s="11"/>
    </row>
    <row r="150" spans="1:66" ht="14.35" customHeight="1" x14ac:dyDescent="0.45">
      <c r="A150" s="29"/>
      <c r="B150" s="14" t="s">
        <v>43</v>
      </c>
      <c r="C150" s="8">
        <v>50</v>
      </c>
      <c r="D150" s="11" t="s">
        <v>82</v>
      </c>
      <c r="E150" s="8">
        <v>50</v>
      </c>
      <c r="F150" s="11" t="s">
        <v>98</v>
      </c>
      <c r="G150" s="16">
        <v>65</v>
      </c>
      <c r="H150" s="11" t="s">
        <v>153</v>
      </c>
      <c r="I150" s="8">
        <v>75</v>
      </c>
      <c r="J150" s="11" t="s">
        <v>131</v>
      </c>
      <c r="K150" s="18">
        <v>85</v>
      </c>
      <c r="L150" s="11" t="s">
        <v>188</v>
      </c>
      <c r="M150" s="8">
        <v>75</v>
      </c>
      <c r="N150" s="11" t="s">
        <v>204</v>
      </c>
      <c r="O150" s="11" t="s">
        <v>72</v>
      </c>
      <c r="P150" s="11" t="s">
        <v>72</v>
      </c>
      <c r="Q150" s="11"/>
      <c r="R150" s="11"/>
      <c r="S150" s="23">
        <v>80</v>
      </c>
      <c r="T150" s="11" t="s">
        <v>294</v>
      </c>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8">
        <f t="shared" si="3"/>
        <v>68.571428571428569</v>
      </c>
      <c r="BH150" s="12" t="str" cm="1">
        <f t="array" ref="BH150">_xlfn.TEXTJOIN(" ", TRUE, _xlfn._xlws.FILTER(C150:BF150, MOD(COLUMN(C150:BF150)-COLUMN(BJ150),2)=0))</f>
        <v>CAN IMPROVE NEED MOTIVATION DOING GOOD NEED TO CONCENTRATE PERFORMING WELL NEED TO CONCENTRATE TRYING TO SIMPLIFY THE FIGURE INTERESTED IN DRAWING EVALUATING THE SHADING WELL AB SHOWING WILLINGNESS IN DRAWING</v>
      </c>
      <c r="BI150" s="11"/>
      <c r="BJ150" s="11"/>
      <c r="BK150" s="11"/>
      <c r="BL150" s="11"/>
      <c r="BM150" s="11"/>
      <c r="BN150" s="11"/>
    </row>
    <row r="151" spans="1:66" ht="14.35" customHeight="1" x14ac:dyDescent="0.45">
      <c r="A151" s="29"/>
      <c r="B151" s="14" t="s">
        <v>44</v>
      </c>
      <c r="C151" s="8"/>
      <c r="D151" s="11" t="s">
        <v>99</v>
      </c>
      <c r="E151" s="8">
        <v>50</v>
      </c>
      <c r="F151" s="11" t="s">
        <v>97</v>
      </c>
      <c r="G151" s="8">
        <v>50</v>
      </c>
      <c r="H151" s="11" t="s">
        <v>117</v>
      </c>
      <c r="I151" s="8">
        <v>50</v>
      </c>
      <c r="J151" s="11" t="s">
        <v>168</v>
      </c>
      <c r="K151" s="8">
        <v>75</v>
      </c>
      <c r="L151" s="11" t="s">
        <v>189</v>
      </c>
      <c r="M151" s="11"/>
      <c r="N151" s="11"/>
      <c r="O151" s="11"/>
      <c r="P151" s="11"/>
      <c r="Q151" s="11">
        <v>25</v>
      </c>
      <c r="R151" s="11" t="s">
        <v>77</v>
      </c>
      <c r="S151" s="23">
        <v>80</v>
      </c>
      <c r="T151" s="11" t="s">
        <v>293</v>
      </c>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8">
        <f t="shared" si="3"/>
        <v>55</v>
      </c>
      <c r="BH151" s="12" t="str" cm="1">
        <f t="array" ref="BH151">_xlfn.TEXTJOIN(" ", TRUE, _xlfn._xlws.FILTER(C151:BF151, MOD(COLUMN(C151:BF151)-COLUMN(BJ151),2)=0))</f>
        <v>CLASS CANCELLED AVERAGE PERFORMANCE AVERAGE PARTICIPATION GOOD IN READING NEED TO CONCENTRATE INTERESTED IN STORY BOOKS NEUTRAL PARTICIPATION PREFER ALL KIND OF BOOKS TO READ</v>
      </c>
      <c r="BI151" s="11"/>
      <c r="BJ151" s="11"/>
      <c r="BK151" s="11"/>
      <c r="BL151" s="11"/>
      <c r="BM151" s="11"/>
      <c r="BN151" s="11"/>
    </row>
    <row r="152" spans="1:66" ht="14.35" customHeight="1" x14ac:dyDescent="0.45">
      <c r="A152" s="30"/>
      <c r="B152" s="14" t="s">
        <v>45</v>
      </c>
      <c r="C152" s="8"/>
      <c r="D152" s="11"/>
      <c r="E152" s="8"/>
      <c r="F152" s="11"/>
      <c r="G152" s="8"/>
      <c r="H152" s="11"/>
      <c r="I152" s="8"/>
      <c r="J152" s="11"/>
      <c r="K152" s="8"/>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8" t="str">
        <f t="shared" si="3"/>
        <v/>
      </c>
      <c r="BH152" s="12" t="str" cm="1">
        <f t="array" ref="BH152">_xlfn.TEXTJOIN(" ", TRUE, _xlfn._xlws.FILTER(C152:BF152, MOD(COLUMN(C152:BF152)-COLUMN(BJ152),2)=0))</f>
        <v/>
      </c>
      <c r="BI152" s="11"/>
      <c r="BJ152" s="11"/>
      <c r="BK152" s="11"/>
      <c r="BL152" s="11"/>
      <c r="BM152" s="11"/>
      <c r="BN152" s="11"/>
    </row>
    <row r="153" spans="1:66" ht="14.35" customHeight="1" x14ac:dyDescent="0.45">
      <c r="A153" s="28" t="s">
        <v>64</v>
      </c>
      <c r="B153" s="14" t="s">
        <v>40</v>
      </c>
      <c r="C153" s="8"/>
      <c r="D153" s="11"/>
      <c r="E153" s="8"/>
      <c r="F153" s="11"/>
      <c r="G153" s="8"/>
      <c r="H153" s="11"/>
      <c r="I153" s="8"/>
      <c r="J153" s="11"/>
      <c r="K153" s="17">
        <v>66</v>
      </c>
      <c r="L153" s="11" t="s">
        <v>172</v>
      </c>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8">
        <f t="shared" si="3"/>
        <v>66</v>
      </c>
      <c r="BH153" s="12" t="str" cm="1">
        <f t="array" ref="BH153">_xlfn.TEXTJOIN(" ", TRUE, _xlfn._xlws.FILTER(C153:BF153, MOD(COLUMN(C153:BF153)-COLUMN(BJ153),2)=0))</f>
        <v>GOOD IN SOCIAL STUDIES</v>
      </c>
      <c r="BI153" s="11"/>
      <c r="BJ153" s="11"/>
      <c r="BK153" s="11"/>
      <c r="BL153" s="11"/>
      <c r="BM153" s="11"/>
      <c r="BN153" s="11"/>
    </row>
    <row r="154" spans="1:66" ht="14.35" customHeight="1" x14ac:dyDescent="0.45">
      <c r="A154" s="29"/>
      <c r="B154" s="14" t="s">
        <v>41</v>
      </c>
      <c r="C154" s="8">
        <v>50</v>
      </c>
      <c r="D154" s="11" t="s">
        <v>101</v>
      </c>
      <c r="E154" s="16">
        <v>65</v>
      </c>
      <c r="F154" s="11" t="s">
        <v>102</v>
      </c>
      <c r="G154" s="8">
        <v>75</v>
      </c>
      <c r="H154" s="11" t="s">
        <v>103</v>
      </c>
      <c r="I154" s="18">
        <v>85</v>
      </c>
      <c r="J154" s="11" t="s">
        <v>103</v>
      </c>
      <c r="K154" s="18">
        <v>85</v>
      </c>
      <c r="L154" s="11" t="s">
        <v>192</v>
      </c>
      <c r="M154" s="18">
        <v>85</v>
      </c>
      <c r="N154" s="11" t="s">
        <v>103</v>
      </c>
      <c r="O154" s="11"/>
      <c r="P154" s="11"/>
      <c r="Q154" s="11"/>
      <c r="R154" s="11"/>
      <c r="S154" s="26">
        <v>85</v>
      </c>
      <c r="T154" s="11" t="s">
        <v>274</v>
      </c>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8">
        <f t="shared" si="3"/>
        <v>75.714285714285708</v>
      </c>
      <c r="BH154" s="12" t="str" cm="1">
        <f t="array" ref="BH154">_xlfn.TEXTJOIN(" ", TRUE, _xlfn._xlws.FILTER(C154:BF154, MOD(COLUMN(C154:BF154)-COLUMN(BJ154),2)=0))</f>
        <v xml:space="preserve">GOOD IN PLAYING FOOTBALL GOOD IN PLAYING SHUTTLE PLAYING WELL SHUTTLE PLAYING WELL SHUTTLE INTERESTED IN SHUTTLE PLAYING WELL SHUTTLE INTERESTED IN VOLLEYBALL&amp;KHOKHO,RUNNER IN KHOKHO </v>
      </c>
      <c r="BI154" s="11"/>
      <c r="BJ154" s="11"/>
      <c r="BK154" s="11"/>
      <c r="BL154" s="11"/>
      <c r="BM154" s="11"/>
      <c r="BN154" s="11"/>
    </row>
    <row r="155" spans="1:66" ht="14.35" customHeight="1" x14ac:dyDescent="0.45">
      <c r="A155" s="29"/>
      <c r="B155" s="14" t="s">
        <v>42</v>
      </c>
      <c r="C155" s="8">
        <v>50</v>
      </c>
      <c r="D155" s="11" t="s">
        <v>105</v>
      </c>
      <c r="E155" s="8">
        <v>50</v>
      </c>
      <c r="F155" s="11" t="s">
        <v>106</v>
      </c>
      <c r="G155" s="8">
        <v>50</v>
      </c>
      <c r="H155" s="11" t="s">
        <v>107</v>
      </c>
      <c r="I155" s="16">
        <v>65</v>
      </c>
      <c r="J155" s="11" t="s">
        <v>157</v>
      </c>
      <c r="K155" s="18">
        <v>85</v>
      </c>
      <c r="L155" s="11" t="s">
        <v>193</v>
      </c>
      <c r="M155" s="16">
        <v>65</v>
      </c>
      <c r="N155" s="11" t="s">
        <v>157</v>
      </c>
      <c r="O155" s="11"/>
      <c r="P155" s="11"/>
      <c r="Q155" s="11"/>
      <c r="R155" s="11"/>
      <c r="S155" s="24">
        <v>90</v>
      </c>
      <c r="T155" s="11" t="s">
        <v>295</v>
      </c>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8">
        <f t="shared" si="3"/>
        <v>65</v>
      </c>
      <c r="BH155" s="12" t="str" cm="1">
        <f t="array" ref="BH155">_xlfn.TEXTJOIN(" ", TRUE, _xlfn._xlws.FILTER(C155:BF155, MOD(COLUMN(C155:BF155)-COLUMN(BJ155),2)=0))</f>
        <v>SHOWING INTEREST NEED TO PRATICE ANSWERING WELL PERFORMING WELL NEED MOTIVATION NEED MORE PRACTICE CAN DO BETTER  PERFORMING WELL NEED MOTIVATION INTERESTED IN DRAWING IN COMPUTER  PERFORMING WELL NEED MOTIVATION LEARNING ABOUT KRITA PROGRAMING</v>
      </c>
      <c r="BI155" s="11"/>
      <c r="BJ155" s="11"/>
      <c r="BK155" s="11"/>
      <c r="BL155" s="11"/>
      <c r="BM155" s="11"/>
      <c r="BN155" s="11"/>
    </row>
    <row r="156" spans="1:66" ht="14.35" customHeight="1" x14ac:dyDescent="0.45">
      <c r="A156" s="29"/>
      <c r="B156" s="14" t="s">
        <v>43</v>
      </c>
      <c r="C156" s="8"/>
      <c r="D156" s="11" t="s">
        <v>74</v>
      </c>
      <c r="E156" s="8">
        <v>50</v>
      </c>
      <c r="F156" s="11" t="s">
        <v>137</v>
      </c>
      <c r="G156" s="16">
        <v>65</v>
      </c>
      <c r="H156" s="11" t="s">
        <v>154</v>
      </c>
      <c r="I156" s="16">
        <v>65</v>
      </c>
      <c r="J156" s="11" t="s">
        <v>130</v>
      </c>
      <c r="K156" s="8">
        <v>75</v>
      </c>
      <c r="L156" s="11" t="s">
        <v>188</v>
      </c>
      <c r="M156" s="8">
        <v>75</v>
      </c>
      <c r="N156" s="11" t="s">
        <v>203</v>
      </c>
      <c r="O156" s="11">
        <v>70</v>
      </c>
      <c r="P156" s="11" t="s">
        <v>220</v>
      </c>
      <c r="Q156" s="11"/>
      <c r="R156" s="11"/>
      <c r="S156" s="24">
        <v>90</v>
      </c>
      <c r="T156" s="11" t="s">
        <v>296</v>
      </c>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8">
        <f t="shared" si="3"/>
        <v>70</v>
      </c>
      <c r="BH156" s="12" t="str" cm="1">
        <f t="array" ref="BH156">_xlfn.TEXTJOIN(" ", TRUE, _xlfn._xlws.FILTER(C156:BF156, MOD(COLUMN(C156:BF156)-COLUMN(BJ156),2)=0))</f>
        <v>NOT ATTENDED THE CLASS WENT TO ESSAY WRITING NEED CONCENTRATION IN THE CLASS GOOD IN SHADING NEED PRACTICE NEED TO REFINE THE FIGURE INTERESTED IN DRAWING UTILIZING THE LINES WELL CAPTURING THE PROPORTION ACCURATELY DEVELOPING VOLUME AND DEPTH IN THE ART WORK</v>
      </c>
      <c r="BI156" s="11"/>
      <c r="BJ156" s="11"/>
      <c r="BK156" s="11"/>
      <c r="BL156" s="11"/>
      <c r="BM156" s="11"/>
      <c r="BN156" s="11"/>
    </row>
    <row r="157" spans="1:66" ht="14.35" customHeight="1" x14ac:dyDescent="0.45">
      <c r="A157" s="29"/>
      <c r="B157" s="14" t="s">
        <v>44</v>
      </c>
      <c r="C157" s="8"/>
      <c r="D157" s="11" t="s">
        <v>99</v>
      </c>
      <c r="E157" s="8">
        <v>50</v>
      </c>
      <c r="F157" s="11" t="s">
        <v>98</v>
      </c>
      <c r="G157" s="8">
        <v>50</v>
      </c>
      <c r="H157" s="11" t="s">
        <v>119</v>
      </c>
      <c r="I157" s="8">
        <v>50</v>
      </c>
      <c r="J157" s="11" t="s">
        <v>108</v>
      </c>
      <c r="K157" s="8">
        <v>75</v>
      </c>
      <c r="L157" s="11" t="s">
        <v>189</v>
      </c>
      <c r="M157" s="11"/>
      <c r="N157" s="11"/>
      <c r="O157" s="11"/>
      <c r="P157" s="11"/>
      <c r="Q157" s="11">
        <v>50</v>
      </c>
      <c r="R157" s="11" t="s">
        <v>239</v>
      </c>
      <c r="S157" s="24">
        <v>90</v>
      </c>
      <c r="T157" s="11" t="s">
        <v>110</v>
      </c>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8">
        <f t="shared" si="3"/>
        <v>60.833333333333336</v>
      </c>
      <c r="BH157" s="12" t="str" cm="1">
        <f t="array" ref="BH157">_xlfn.TEXTJOIN(" ", TRUE, _xlfn._xlws.FILTER(C157:BF157, MOD(COLUMN(C157:BF157)-COLUMN(BJ157),2)=0))</f>
        <v>CLASS CANCELLED DOING GOOD NEED TO CONCENTRATE NEED TO CONCENTRATE GOOD IN READING INTERESTED IN STORY BOOKS NOT YET CONFIDENT, BUT INTERESTED IN READING, NEED TO BE FOCOUSED MORE INTERESTED IN MORAL STORIES</v>
      </c>
      <c r="BI157" s="11"/>
      <c r="BJ157" s="11"/>
      <c r="BK157" s="11"/>
      <c r="BL157" s="11"/>
      <c r="BM157" s="11"/>
      <c r="BN157" s="11"/>
    </row>
    <row r="158" spans="1:66" ht="14.35" customHeight="1" x14ac:dyDescent="0.45">
      <c r="A158" s="30"/>
      <c r="B158" s="14" t="s">
        <v>45</v>
      </c>
      <c r="C158" s="8"/>
      <c r="D158" s="11"/>
      <c r="E158" s="8"/>
      <c r="F158" s="11"/>
      <c r="G158" s="8"/>
      <c r="H158" s="11"/>
      <c r="I158" s="8"/>
      <c r="J158" s="11"/>
      <c r="K158" s="8"/>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8" t="str">
        <f t="shared" si="3"/>
        <v/>
      </c>
      <c r="BH158" s="12" t="str" cm="1">
        <f t="array" ref="BH158">_xlfn.TEXTJOIN(" ", TRUE, _xlfn._xlws.FILTER(C158:BF158, MOD(COLUMN(C158:BF158)-COLUMN(BJ158),2)=0))</f>
        <v/>
      </c>
      <c r="BI158" s="11"/>
      <c r="BJ158" s="11"/>
      <c r="BK158" s="11"/>
      <c r="BL158" s="11"/>
      <c r="BM158" s="11"/>
      <c r="BN158" s="11"/>
    </row>
    <row r="159" spans="1:66" ht="14.35" customHeight="1" x14ac:dyDescent="0.45">
      <c r="A159" s="28" t="s">
        <v>65</v>
      </c>
      <c r="B159" s="14" t="s">
        <v>40</v>
      </c>
      <c r="C159" s="8"/>
      <c r="D159" s="11"/>
      <c r="E159" s="8"/>
      <c r="F159" s="11"/>
      <c r="G159" s="8"/>
      <c r="H159" s="11"/>
      <c r="I159" s="8"/>
      <c r="J159" s="11"/>
      <c r="K159" s="17">
        <v>93</v>
      </c>
      <c r="L159" s="11" t="s">
        <v>174</v>
      </c>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8">
        <f t="shared" si="3"/>
        <v>93</v>
      </c>
      <c r="BH159" s="12" t="str" cm="1">
        <f t="array" ref="BH159">_xlfn.TEXTJOIN(" ", TRUE, _xlfn._xlws.FILTER(C159:BF159, MOD(COLUMN(C159:BF159)-COLUMN(BJ159),2)=0))</f>
        <v>GOOD IN BIOLOGY,TELUGU,URDU&amp;MATHEMATICS</v>
      </c>
      <c r="BI159" s="11"/>
      <c r="BJ159" s="11"/>
      <c r="BK159" s="11"/>
      <c r="BL159" s="11"/>
      <c r="BM159" s="11"/>
      <c r="BN159" s="11"/>
    </row>
    <row r="160" spans="1:66" ht="14.35" customHeight="1" x14ac:dyDescent="0.45">
      <c r="A160" s="29"/>
      <c r="B160" s="14" t="s">
        <v>41</v>
      </c>
      <c r="C160" s="8">
        <v>50</v>
      </c>
      <c r="D160" s="11" t="s">
        <v>101</v>
      </c>
      <c r="E160" s="16">
        <v>65</v>
      </c>
      <c r="F160" s="11" t="s">
        <v>102</v>
      </c>
      <c r="G160" s="8">
        <v>75</v>
      </c>
      <c r="H160" s="11" t="s">
        <v>103</v>
      </c>
      <c r="I160" s="18">
        <v>85</v>
      </c>
      <c r="J160" s="11" t="s">
        <v>103</v>
      </c>
      <c r="K160" s="8">
        <v>75</v>
      </c>
      <c r="L160" s="11" t="s">
        <v>192</v>
      </c>
      <c r="M160" s="18">
        <v>85</v>
      </c>
      <c r="N160" s="11" t="s">
        <v>103</v>
      </c>
      <c r="O160" s="11"/>
      <c r="P160" s="11"/>
      <c r="Q160" s="11"/>
      <c r="R160" s="11"/>
      <c r="S160" s="23">
        <v>80</v>
      </c>
      <c r="T160" s="11" t="s">
        <v>272</v>
      </c>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8">
        <f t="shared" si="3"/>
        <v>73.571428571428569</v>
      </c>
      <c r="BH160" s="12" t="str" cm="1">
        <f t="array" ref="BH160">_xlfn.TEXTJOIN(" ", TRUE, _xlfn._xlws.FILTER(C160:BF160, MOD(COLUMN(C160:BF160)-COLUMN(BJ160),2)=0))</f>
        <v>GOOD IN PLAYING FOOTBALL GOOD IN PLAYING SHUTTLE PLAYING WELL SHUTTLE PLAYING WELL SHUTTLE INTERESTED IN SHUTTLE PLAYING WELL SHUTTLE INTERESTED IN KHO KHO ,THROWBALL</v>
      </c>
      <c r="BI160" s="11"/>
      <c r="BJ160" s="11"/>
      <c r="BK160" s="11"/>
      <c r="BL160" s="11"/>
      <c r="BM160" s="11"/>
      <c r="BN160" s="11"/>
    </row>
    <row r="161" spans="1:66" ht="14.35" customHeight="1" x14ac:dyDescent="0.45">
      <c r="A161" s="29"/>
      <c r="B161" s="14" t="s">
        <v>42</v>
      </c>
      <c r="C161" s="8">
        <v>50</v>
      </c>
      <c r="D161" s="11" t="s">
        <v>105</v>
      </c>
      <c r="E161" s="8">
        <v>50</v>
      </c>
      <c r="F161" s="11" t="s">
        <v>106</v>
      </c>
      <c r="G161" s="8">
        <v>50</v>
      </c>
      <c r="H161" s="11" t="s">
        <v>107</v>
      </c>
      <c r="I161" s="16">
        <v>65</v>
      </c>
      <c r="J161" s="11" t="s">
        <v>157</v>
      </c>
      <c r="K161" s="18">
        <v>85</v>
      </c>
      <c r="L161" s="11" t="s">
        <v>193</v>
      </c>
      <c r="M161" s="16">
        <v>65</v>
      </c>
      <c r="N161" s="11" t="s">
        <v>157</v>
      </c>
      <c r="O161" s="11"/>
      <c r="P161" s="11"/>
      <c r="Q161" s="11"/>
      <c r="R161" s="11"/>
      <c r="S161" s="11">
        <v>75</v>
      </c>
      <c r="T161" s="11" t="s">
        <v>258</v>
      </c>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8">
        <f t="shared" si="3"/>
        <v>62.857142857142854</v>
      </c>
      <c r="BH161" s="12" t="str" cm="1">
        <f t="array" ref="BH161">_xlfn.TEXTJOIN(" ", TRUE, _xlfn._xlws.FILTER(C161:BF161, MOD(COLUMN(C161:BF161)-COLUMN(BJ161),2)=0))</f>
        <v>SHOWING INTEREST NEED TO PRATICE ANSWERING WELL PERFORMING WELL NEED MOTIVATION NEED MORE PRACTICE CAN DO BETTER  PERFORMING WELL NEED MOTIVATION INTERESTED IN DRAWING IN COMPUTER  PERFORMING WELL NEED MOTIVATION BASIC SKILLS LIKE TYPING</v>
      </c>
      <c r="BI161" s="11"/>
      <c r="BJ161" s="11"/>
      <c r="BK161" s="11"/>
      <c r="BL161" s="11"/>
      <c r="BM161" s="11"/>
      <c r="BN161" s="11"/>
    </row>
    <row r="162" spans="1:66" ht="14.35" customHeight="1" x14ac:dyDescent="0.45">
      <c r="A162" s="29"/>
      <c r="B162" s="14" t="s">
        <v>43</v>
      </c>
      <c r="C162" s="8"/>
      <c r="D162" s="11" t="s">
        <v>74</v>
      </c>
      <c r="E162" s="16">
        <v>65</v>
      </c>
      <c r="F162" s="11" t="s">
        <v>136</v>
      </c>
      <c r="G162" s="16">
        <v>65</v>
      </c>
      <c r="H162" s="11" t="s">
        <v>150</v>
      </c>
      <c r="I162" s="16">
        <v>65</v>
      </c>
      <c r="J162" s="11" t="s">
        <v>165</v>
      </c>
      <c r="K162" s="18">
        <v>85</v>
      </c>
      <c r="L162" s="11" t="s">
        <v>188</v>
      </c>
      <c r="M162" s="19">
        <v>95</v>
      </c>
      <c r="N162" s="11" t="s">
        <v>199</v>
      </c>
      <c r="O162" s="11">
        <v>90</v>
      </c>
      <c r="P162" s="11" t="s">
        <v>221</v>
      </c>
      <c r="Q162" s="11"/>
      <c r="R162" s="11"/>
      <c r="S162" s="23">
        <v>80</v>
      </c>
      <c r="T162" s="11" t="s">
        <v>294</v>
      </c>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8">
        <f t="shared" si="3"/>
        <v>77.857142857142861</v>
      </c>
      <c r="BH162" s="12" t="str" cm="1">
        <f t="array" ref="BH162">_xlfn.TEXTJOIN(" ", TRUE, _xlfn._xlws.FILTER(C162:BF162, MOD(COLUMN(C162:BF162)-COLUMN(BJ162),2)=0))</f>
        <v>NOT ATTENDED THE CLASS WENT TO ESSAY WRITING PERFORMING WELL NEED PRACTICE SHOWING VARIATION IN COMPLEX TONE PERFORMING WELL NEED TO PRACTICE INTERESTED IN DRAWING DRAWING VERY REALISTI , DETALING IS GOOD  SHOWING GOOD SKILL IN DEPICTING THE DETAILS OF THE OBJECT SHOWING WILLINGNESS IN DRAWING</v>
      </c>
      <c r="BI162" s="11"/>
      <c r="BJ162" s="11"/>
      <c r="BK162" s="11"/>
      <c r="BL162" s="11"/>
      <c r="BM162" s="11"/>
      <c r="BN162" s="11"/>
    </row>
    <row r="163" spans="1:66" ht="14.35" customHeight="1" x14ac:dyDescent="0.45">
      <c r="A163" s="29"/>
      <c r="B163" s="14" t="s">
        <v>44</v>
      </c>
      <c r="C163" s="8"/>
      <c r="D163" s="11" t="s">
        <v>99</v>
      </c>
      <c r="E163" s="8">
        <v>50</v>
      </c>
      <c r="F163" s="11" t="s">
        <v>97</v>
      </c>
      <c r="G163" s="8">
        <v>50</v>
      </c>
      <c r="H163" s="11" t="s">
        <v>115</v>
      </c>
      <c r="I163" s="8">
        <v>50</v>
      </c>
      <c r="J163" s="11" t="s">
        <v>168</v>
      </c>
      <c r="K163" s="8">
        <v>75</v>
      </c>
      <c r="L163" s="11" t="s">
        <v>189</v>
      </c>
      <c r="M163" s="11"/>
      <c r="N163" s="11"/>
      <c r="O163" s="11"/>
      <c r="P163" s="11"/>
      <c r="Q163" s="11">
        <v>40</v>
      </c>
      <c r="R163" s="11" t="s">
        <v>240</v>
      </c>
      <c r="S163" s="11">
        <v>75</v>
      </c>
      <c r="T163" s="11" t="s">
        <v>271</v>
      </c>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8">
        <f t="shared" si="3"/>
        <v>56.666666666666664</v>
      </c>
      <c r="BH163" s="12" t="str" cm="1">
        <f t="array" ref="BH163">_xlfn.TEXTJOIN(" ", TRUE, _xlfn._xlws.FILTER(C163:BF163, MOD(COLUMN(C163:BF163)-COLUMN(BJ163),2)=0))</f>
        <v>CLASS CANCELLED AVERAGE PERFORMANCE NEED TO IMPROVE READING ABILITY GOOD IN READING NEED TO CONCENTRATE INTERESTED IN STORY BOOKS  INTERESTED IN NEWS PAPER READING NOT MUCH INTERESTED IN READING RANDOM BOOKS READING</v>
      </c>
      <c r="BI163" s="11"/>
      <c r="BJ163" s="11"/>
      <c r="BK163" s="11"/>
      <c r="BL163" s="11"/>
      <c r="BM163" s="11"/>
      <c r="BN163" s="11"/>
    </row>
    <row r="164" spans="1:66" ht="14.35" customHeight="1" x14ac:dyDescent="0.45">
      <c r="A164" s="30"/>
      <c r="B164" s="14" t="s">
        <v>45</v>
      </c>
      <c r="C164" s="8"/>
      <c r="D164" s="11"/>
      <c r="E164" s="8"/>
      <c r="F164" s="11"/>
      <c r="G164" s="8"/>
      <c r="H164" s="11"/>
      <c r="I164" s="8"/>
      <c r="J164" s="11"/>
      <c r="K164" s="8"/>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8" t="str">
        <f t="shared" ref="BG164:BG198" si="4">IFERROR(AVERAGEIF(C164:BE164,"&lt;&gt;nill"), "")</f>
        <v/>
      </c>
      <c r="BH164" s="12" t="str" cm="1">
        <f t="array" ref="BH164">_xlfn.TEXTJOIN(" ", TRUE, _xlfn._xlws.FILTER(C164:BF164, MOD(COLUMN(C164:BF164)-COLUMN(BJ164),2)=0))</f>
        <v/>
      </c>
      <c r="BI164" s="11"/>
      <c r="BJ164" s="11"/>
      <c r="BK164" s="11"/>
      <c r="BL164" s="11"/>
      <c r="BM164" s="11"/>
      <c r="BN164" s="11"/>
    </row>
    <row r="165" spans="1:66" ht="14.35" customHeight="1" x14ac:dyDescent="0.45">
      <c r="A165" s="28" t="s">
        <v>66</v>
      </c>
      <c r="B165" s="14" t="s">
        <v>40</v>
      </c>
      <c r="C165" s="8"/>
      <c r="D165" s="11"/>
      <c r="E165" s="8"/>
      <c r="F165" s="11"/>
      <c r="G165" s="8"/>
      <c r="H165" s="11"/>
      <c r="I165" s="8"/>
      <c r="J165" s="11"/>
      <c r="K165" s="17"/>
      <c r="L165" s="11" t="s">
        <v>176</v>
      </c>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8" t="str">
        <f t="shared" si="4"/>
        <v/>
      </c>
      <c r="BH165" s="12" t="str" cm="1">
        <f t="array" ref="BH165">_xlfn.TEXTJOIN(" ", TRUE, _xlfn._xlws.FILTER(C165:BF165, MOD(COLUMN(C165:BF165)-COLUMN(BJ165),2)=0))</f>
        <v>GOOD IN URDU</v>
      </c>
      <c r="BI165" s="11"/>
      <c r="BJ165" s="11"/>
      <c r="BK165" s="11"/>
      <c r="BL165" s="11"/>
      <c r="BM165" s="11"/>
      <c r="BN165" s="11"/>
    </row>
    <row r="166" spans="1:66" ht="14.35" customHeight="1" x14ac:dyDescent="0.45">
      <c r="A166" s="29"/>
      <c r="B166" s="14" t="s">
        <v>41</v>
      </c>
      <c r="C166" s="8">
        <v>50</v>
      </c>
      <c r="D166" s="11" t="s">
        <v>101</v>
      </c>
      <c r="E166" s="16">
        <v>65</v>
      </c>
      <c r="F166" s="11" t="s">
        <v>102</v>
      </c>
      <c r="G166" s="8">
        <v>75</v>
      </c>
      <c r="H166" s="11" t="s">
        <v>103</v>
      </c>
      <c r="I166" s="18">
        <v>85</v>
      </c>
      <c r="J166" s="11" t="s">
        <v>103</v>
      </c>
      <c r="K166" s="18">
        <v>85</v>
      </c>
      <c r="L166" s="11" t="s">
        <v>190</v>
      </c>
      <c r="M166" s="18">
        <v>85</v>
      </c>
      <c r="N166" s="11" t="s">
        <v>103</v>
      </c>
      <c r="O166" s="11"/>
      <c r="P166" s="11"/>
      <c r="Q166" s="11"/>
      <c r="R166" s="11"/>
      <c r="S166" s="23">
        <v>80</v>
      </c>
      <c r="T166" s="11" t="s">
        <v>269</v>
      </c>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8">
        <f t="shared" si="4"/>
        <v>75</v>
      </c>
      <c r="BH166" s="12" t="str" cm="1">
        <f t="array" ref="BH166">_xlfn.TEXTJOIN(" ", TRUE, _xlfn._xlws.FILTER(C166:BF166, MOD(COLUMN(C166:BF166)-COLUMN(BJ166),2)=0))</f>
        <v>GOOD IN PLAYING FOOTBALL GOOD IN PLAYING SHUTTLE PLAYING WELL SHUTTLE PLAYING WELL SHUTTLE INTERESTED IN KHO-KHO PLAYING WELL SHUTTLE INTERESTED IN KHO KHO,KHABADI&amp;VOLLEYBALL</v>
      </c>
      <c r="BI166" s="11"/>
      <c r="BJ166" s="11"/>
      <c r="BK166" s="11"/>
      <c r="BL166" s="11"/>
      <c r="BM166" s="11"/>
      <c r="BN166" s="11"/>
    </row>
    <row r="167" spans="1:66" ht="14.35" customHeight="1" x14ac:dyDescent="0.45">
      <c r="A167" s="29"/>
      <c r="B167" s="14" t="s">
        <v>42</v>
      </c>
      <c r="C167" s="8">
        <v>50</v>
      </c>
      <c r="D167" s="11" t="s">
        <v>105</v>
      </c>
      <c r="E167" s="8">
        <v>50</v>
      </c>
      <c r="F167" s="11" t="s">
        <v>106</v>
      </c>
      <c r="G167" s="8">
        <v>50</v>
      </c>
      <c r="H167" s="11" t="s">
        <v>107</v>
      </c>
      <c r="I167" s="16">
        <v>65</v>
      </c>
      <c r="J167" s="11" t="s">
        <v>157</v>
      </c>
      <c r="K167" s="18">
        <v>85</v>
      </c>
      <c r="L167" s="11" t="s">
        <v>193</v>
      </c>
      <c r="M167" s="16">
        <v>65</v>
      </c>
      <c r="N167" s="11" t="s">
        <v>157</v>
      </c>
      <c r="O167" s="11"/>
      <c r="P167" s="11"/>
      <c r="Q167" s="11"/>
      <c r="R167" s="11"/>
      <c r="S167" s="11">
        <v>75</v>
      </c>
      <c r="T167" s="11" t="s">
        <v>258</v>
      </c>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8">
        <f t="shared" si="4"/>
        <v>62.857142857142854</v>
      </c>
      <c r="BH167" s="12" t="str" cm="1">
        <f t="array" ref="BH167">_xlfn.TEXTJOIN(" ", TRUE, _xlfn._xlws.FILTER(C167:BF167, MOD(COLUMN(C167:BF167)-COLUMN(BJ167),2)=0))</f>
        <v>SHOWING INTEREST NEED TO PRATICE ANSWERING WELL PERFORMING WELL NEED MOTIVATION NEED MORE PRACTICE CAN DO BETTER  PERFORMING WELL NEED MOTIVATION INTERESTED IN DRAWING IN COMPUTER  PERFORMING WELL NEED MOTIVATION BASIC SKILLS LIKE TYPING</v>
      </c>
      <c r="BI167" s="11"/>
      <c r="BJ167" s="11"/>
      <c r="BK167" s="11"/>
      <c r="BL167" s="11"/>
      <c r="BM167" s="11"/>
      <c r="BN167" s="11"/>
    </row>
    <row r="168" spans="1:66" ht="14.35" customHeight="1" x14ac:dyDescent="0.45">
      <c r="A168" s="29"/>
      <c r="B168" s="14" t="s">
        <v>43</v>
      </c>
      <c r="C168" s="8">
        <v>50</v>
      </c>
      <c r="D168" s="11" t="s">
        <v>83</v>
      </c>
      <c r="E168" s="8">
        <v>50</v>
      </c>
      <c r="F168" s="11" t="s">
        <v>97</v>
      </c>
      <c r="G168" s="16">
        <v>65</v>
      </c>
      <c r="H168" s="11" t="s">
        <v>148</v>
      </c>
      <c r="I168" s="16">
        <v>65</v>
      </c>
      <c r="J168" s="11" t="s">
        <v>163</v>
      </c>
      <c r="K168" s="8">
        <v>75</v>
      </c>
      <c r="L168" s="11" t="s">
        <v>188</v>
      </c>
      <c r="M168" s="11"/>
      <c r="N168" s="11" t="s">
        <v>208</v>
      </c>
      <c r="O168" s="11" t="s">
        <v>72</v>
      </c>
      <c r="P168" s="11" t="s">
        <v>72</v>
      </c>
      <c r="Q168" s="11"/>
      <c r="R168" s="11"/>
      <c r="S168" s="23">
        <v>80</v>
      </c>
      <c r="T168" s="11" t="s">
        <v>270</v>
      </c>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8">
        <f t="shared" si="4"/>
        <v>64.166666666666671</v>
      </c>
      <c r="BH168" s="12" t="str" cm="1">
        <f t="array" ref="BH168">_xlfn.TEXTJOIN(" ", TRUE, _xlfn._xlws.FILTER(C168:BF168, MOD(COLUMN(C168:BF168)-COLUMN(BJ168),2)=0))</f>
        <v>TAKING FRIENDS HELP,NEED TO PRACTICE AVERAGE PERFORMANCE GOOD IN CREATING DARKER AND MORE COMPLEX TONE ACTIVE PARTICEPATION DOING WELL IN THE CLASS INTERESTED IN DRAWING WENT TO PARTICEPATE IN ELOCUTION AB CREATING DIMENSIONAL DEPTH ON THE SURFACE</v>
      </c>
      <c r="BI168" s="11"/>
      <c r="BJ168" s="11"/>
      <c r="BK168" s="11"/>
      <c r="BL168" s="11"/>
      <c r="BM168" s="11"/>
      <c r="BN168" s="11"/>
    </row>
    <row r="169" spans="1:66" ht="14.35" customHeight="1" x14ac:dyDescent="0.45">
      <c r="A169" s="29"/>
      <c r="B169" s="14" t="s">
        <v>44</v>
      </c>
      <c r="C169" s="8"/>
      <c r="D169" s="11" t="s">
        <v>99</v>
      </c>
      <c r="E169" s="8" t="s">
        <v>72</v>
      </c>
      <c r="F169" s="11" t="s">
        <v>86</v>
      </c>
      <c r="G169" s="8">
        <v>50</v>
      </c>
      <c r="H169" s="11" t="s">
        <v>109</v>
      </c>
      <c r="I169" s="8">
        <v>50</v>
      </c>
      <c r="J169" s="11" t="s">
        <v>168</v>
      </c>
      <c r="K169" s="8">
        <v>75</v>
      </c>
      <c r="L169" s="11" t="s">
        <v>197</v>
      </c>
      <c r="M169" s="11"/>
      <c r="N169" s="11"/>
      <c r="O169" s="11"/>
      <c r="P169" s="11"/>
      <c r="Q169" s="11"/>
      <c r="R169" s="11"/>
      <c r="S169" s="11">
        <v>75</v>
      </c>
      <c r="T169" s="11" t="s">
        <v>271</v>
      </c>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8">
        <f t="shared" si="4"/>
        <v>62.5</v>
      </c>
      <c r="BH169" s="12" t="str" cm="1">
        <f t="array" ref="BH169">_xlfn.TEXTJOIN(" ", TRUE, _xlfn._xlws.FILTER(C169:BF169, MOD(COLUMN(C169:BF169)-COLUMN(BJ169),2)=0))</f>
        <v>CLASS CANCELLED ABSENT SHOWING INTEREST IN READING GOOD IN READING NEED TO CONCENTRATE INTERESTED IN MORAL BOOKS NOT MUCH INTERESTED IN READING RANDOM BOOKS READING</v>
      </c>
      <c r="BI169" s="11"/>
      <c r="BJ169" s="11"/>
      <c r="BK169" s="11"/>
      <c r="BL169" s="11"/>
      <c r="BM169" s="11"/>
      <c r="BN169" s="11"/>
    </row>
    <row r="170" spans="1:66" ht="14.35" customHeight="1" x14ac:dyDescent="0.45">
      <c r="A170" s="30"/>
      <c r="B170" s="14" t="s">
        <v>45</v>
      </c>
      <c r="C170" s="8"/>
      <c r="D170" s="11"/>
      <c r="E170" s="8"/>
      <c r="F170" s="11"/>
      <c r="G170" s="8"/>
      <c r="H170" s="11"/>
      <c r="I170" s="8"/>
      <c r="J170" s="11"/>
      <c r="K170" s="8"/>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8" t="str">
        <f t="shared" si="4"/>
        <v/>
      </c>
      <c r="BH170" s="12" t="str" cm="1">
        <f t="array" ref="BH170">_xlfn.TEXTJOIN(" ", TRUE, _xlfn._xlws.FILTER(C170:BF170, MOD(COLUMN(C170:BF170)-COLUMN(BJ170),2)=0))</f>
        <v/>
      </c>
      <c r="BI170" s="11"/>
      <c r="BJ170" s="11"/>
      <c r="BK170" s="11"/>
      <c r="BL170" s="11"/>
      <c r="BM170" s="11"/>
      <c r="BN170" s="11"/>
    </row>
    <row r="171" spans="1:66" ht="14.35" customHeight="1" x14ac:dyDescent="0.45">
      <c r="A171" s="28" t="s">
        <v>67</v>
      </c>
      <c r="B171" s="14" t="s">
        <v>40</v>
      </c>
      <c r="C171" s="8"/>
      <c r="D171" s="11"/>
      <c r="E171" s="8"/>
      <c r="F171" s="11"/>
      <c r="G171" s="8"/>
      <c r="H171" s="11"/>
      <c r="I171" s="8"/>
      <c r="J171" s="11"/>
      <c r="K171" s="17">
        <v>86</v>
      </c>
      <c r="L171" s="11" t="s">
        <v>181</v>
      </c>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8">
        <f t="shared" si="4"/>
        <v>86</v>
      </c>
      <c r="BH171" s="12" t="str" cm="1">
        <f t="array" ref="BH171">_xlfn.TEXTJOIN(" ", TRUE, _xlfn._xlws.FILTER(C171:BF171, MOD(COLUMN(C171:BF171)-COLUMN(BJ171),2)=0))</f>
        <v>GOOD IN MATHEMATICS,BIOLOGY&amp;SOCIAL</v>
      </c>
      <c r="BI171" s="11"/>
      <c r="BJ171" s="11"/>
      <c r="BK171" s="11"/>
      <c r="BL171" s="11"/>
      <c r="BM171" s="11"/>
      <c r="BN171" s="11"/>
    </row>
    <row r="172" spans="1:66" ht="14.35" customHeight="1" x14ac:dyDescent="0.45">
      <c r="A172" s="29"/>
      <c r="B172" s="14" t="s">
        <v>41</v>
      </c>
      <c r="C172" s="8">
        <v>50</v>
      </c>
      <c r="D172" s="11" t="s">
        <v>101</v>
      </c>
      <c r="E172" s="16">
        <v>65</v>
      </c>
      <c r="F172" s="11" t="s">
        <v>102</v>
      </c>
      <c r="G172" s="8">
        <v>75</v>
      </c>
      <c r="H172" s="11" t="s">
        <v>103</v>
      </c>
      <c r="I172" s="18">
        <v>85</v>
      </c>
      <c r="J172" s="11" t="s">
        <v>103</v>
      </c>
      <c r="K172" s="18">
        <v>85</v>
      </c>
      <c r="L172" s="11" t="s">
        <v>192</v>
      </c>
      <c r="M172" s="18">
        <v>85</v>
      </c>
      <c r="N172" s="11" t="s">
        <v>103</v>
      </c>
      <c r="O172" s="11"/>
      <c r="P172" s="11"/>
      <c r="Q172" s="11"/>
      <c r="R172" s="11"/>
      <c r="S172" s="23">
        <v>80</v>
      </c>
      <c r="T172" s="11" t="s">
        <v>278</v>
      </c>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8">
        <f t="shared" si="4"/>
        <v>75</v>
      </c>
      <c r="BH172" s="12" t="str" cm="1">
        <f t="array" ref="BH172">_xlfn.TEXTJOIN(" ", TRUE, _xlfn._xlws.FILTER(C172:BF172, MOD(COLUMN(C172:BF172)-COLUMN(BJ172),2)=0))</f>
        <v>GOOD IN PLAYING FOOTBALL GOOD IN PLAYING SHUTTLE PLAYING WELL SHUTTLE PLAYING WELL SHUTTLE INTERESTED IN SHUTTLE PLAYING WELL SHUTTLE INTERESTED IN KHO KHO&amp; THROWBALL</v>
      </c>
      <c r="BI172" s="11"/>
      <c r="BJ172" s="11"/>
      <c r="BK172" s="11"/>
      <c r="BL172" s="11"/>
      <c r="BM172" s="11"/>
      <c r="BN172" s="11"/>
    </row>
    <row r="173" spans="1:66" ht="14.35" customHeight="1" x14ac:dyDescent="0.45">
      <c r="A173" s="29"/>
      <c r="B173" s="14" t="s">
        <v>42</v>
      </c>
      <c r="C173" s="8">
        <v>50</v>
      </c>
      <c r="D173" s="11" t="s">
        <v>105</v>
      </c>
      <c r="E173" s="8">
        <v>50</v>
      </c>
      <c r="F173" s="11" t="s">
        <v>106</v>
      </c>
      <c r="G173" s="8">
        <v>50</v>
      </c>
      <c r="H173" s="11" t="s">
        <v>107</v>
      </c>
      <c r="I173" s="16">
        <v>65</v>
      </c>
      <c r="J173" s="11" t="s">
        <v>157</v>
      </c>
      <c r="K173" s="18">
        <v>85</v>
      </c>
      <c r="L173" s="11" t="s">
        <v>193</v>
      </c>
      <c r="M173" s="16">
        <v>65</v>
      </c>
      <c r="N173" s="11" t="s">
        <v>157</v>
      </c>
      <c r="O173" s="11"/>
      <c r="P173" s="11"/>
      <c r="Q173" s="11"/>
      <c r="R173" s="11"/>
      <c r="S173" s="24">
        <v>90</v>
      </c>
      <c r="T173" s="11" t="s">
        <v>279</v>
      </c>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8">
        <f t="shared" si="4"/>
        <v>65</v>
      </c>
      <c r="BH173" s="12" t="str" cm="1">
        <f t="array" ref="BH173">_xlfn.TEXTJOIN(" ", TRUE, _xlfn._xlws.FILTER(C173:BF173, MOD(COLUMN(C173:BF173)-COLUMN(BJ173),2)=0))</f>
        <v>SHOWING INTEREST NEED TO PRATICE ANSWERING WELL PERFORMING WELL NEED MOTIVATION NEED MORE PRACTICE CAN DO BETTER  PERFORMING WELL NEED MOTIVATION INTERESTED IN DRAWING IN COMPUTER  PERFORMING WELL NEED MOTIVATION LEARNING KRITA 3D ANIMATION PROGRAM ,AND SHOWING INTEREST IN PHOTO EDITING</v>
      </c>
      <c r="BI173" s="11"/>
      <c r="BJ173" s="11"/>
      <c r="BK173" s="11"/>
      <c r="BL173" s="11"/>
      <c r="BM173" s="11"/>
      <c r="BN173" s="11"/>
    </row>
    <row r="174" spans="1:66" ht="14.35" customHeight="1" x14ac:dyDescent="0.45">
      <c r="A174" s="29"/>
      <c r="B174" s="14" t="s">
        <v>43</v>
      </c>
      <c r="C174" s="8" t="s">
        <v>72</v>
      </c>
      <c r="D174" s="11" t="s">
        <v>72</v>
      </c>
      <c r="E174" s="8">
        <v>50</v>
      </c>
      <c r="F174" s="11" t="s">
        <v>130</v>
      </c>
      <c r="G174" s="16">
        <v>65</v>
      </c>
      <c r="H174" s="11" t="s">
        <v>150</v>
      </c>
      <c r="I174" s="8">
        <v>50</v>
      </c>
      <c r="J174" s="11" t="s">
        <v>164</v>
      </c>
      <c r="K174" s="18">
        <v>85</v>
      </c>
      <c r="L174" s="11" t="s">
        <v>188</v>
      </c>
      <c r="M174" s="11"/>
      <c r="N174" s="11" t="s">
        <v>208</v>
      </c>
      <c r="O174" s="11">
        <v>75</v>
      </c>
      <c r="P174" s="11" t="s">
        <v>222</v>
      </c>
      <c r="Q174" s="11"/>
      <c r="R174" s="11"/>
      <c r="S174" s="24">
        <v>90</v>
      </c>
      <c r="T174" s="11" t="s">
        <v>280</v>
      </c>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8">
        <f t="shared" si="4"/>
        <v>69.166666666666671</v>
      </c>
      <c r="BH174" s="12" t="str" cm="1">
        <f t="array" ref="BH174">_xlfn.TEXTJOIN(" ", TRUE, _xlfn._xlws.FILTER(C174:BF174, MOD(COLUMN(C174:BF174)-COLUMN(BJ174),2)=0))</f>
        <v>AB NEED TO REFINE THE FIGURE SHOWING VARIATION IN COMPLEX TONE AVERAGE PARTICEPATION INTERESTED IN DRAWING WENT TO PARTICEPATE IN ELOCUTION DEVELOPING A STRONG STYLE IN THE WORK CREATING DIMENSIONAL DEPTH ON THE SURFACE,GOOD AT SEAMLESS EFFECTS</v>
      </c>
      <c r="BI174" s="11"/>
      <c r="BJ174" s="11"/>
      <c r="BK174" s="11"/>
      <c r="BL174" s="11"/>
      <c r="BM174" s="11"/>
      <c r="BN174" s="11"/>
    </row>
    <row r="175" spans="1:66" ht="14.35" customHeight="1" x14ac:dyDescent="0.45">
      <c r="A175" s="29"/>
      <c r="B175" s="14" t="s">
        <v>44</v>
      </c>
      <c r="C175" s="8"/>
      <c r="D175" s="11" t="s">
        <v>99</v>
      </c>
      <c r="E175" s="8">
        <v>50</v>
      </c>
      <c r="F175" s="11" t="s">
        <v>97</v>
      </c>
      <c r="G175" s="8">
        <v>50</v>
      </c>
      <c r="H175" s="11" t="s">
        <v>108</v>
      </c>
      <c r="I175" s="8">
        <v>50</v>
      </c>
      <c r="J175" s="11" t="s">
        <v>169</v>
      </c>
      <c r="K175" s="8">
        <v>75</v>
      </c>
      <c r="L175" s="11" t="s">
        <v>197</v>
      </c>
      <c r="M175" s="11"/>
      <c r="N175" s="11"/>
      <c r="O175" s="11"/>
      <c r="P175" s="11"/>
      <c r="Q175" s="11"/>
      <c r="R175" s="11"/>
      <c r="S175" s="26">
        <v>85</v>
      </c>
      <c r="T175" s="11" t="s">
        <v>281</v>
      </c>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8">
        <f t="shared" si="4"/>
        <v>62</v>
      </c>
      <c r="BH175" s="12" t="str" cm="1">
        <f t="array" ref="BH175">_xlfn.TEXTJOIN(" ", TRUE, _xlfn._xlws.FILTER(C175:BF175, MOD(COLUMN(C175:BF175)-COLUMN(BJ175),2)=0))</f>
        <v>CLASS CANCELLED AVERAGE PERFORMANCE GOOD IN READING GOOD IN READING NNED TO PAY ATTENTION INTERESTED IN MORAL BOOKS INTERESTED IN MORAL STORIES EVEN WATCHES STORIES IN YOUTUBE IN FREE TIME</v>
      </c>
      <c r="BI175" s="11"/>
      <c r="BJ175" s="11"/>
      <c r="BK175" s="11"/>
      <c r="BL175" s="11"/>
      <c r="BM175" s="11"/>
      <c r="BN175" s="11"/>
    </row>
    <row r="176" spans="1:66" ht="14.35" customHeight="1" x14ac:dyDescent="0.45">
      <c r="A176" s="30"/>
      <c r="B176" s="14" t="s">
        <v>45</v>
      </c>
      <c r="C176" s="8"/>
      <c r="D176" s="11"/>
      <c r="E176" s="8"/>
      <c r="F176" s="11"/>
      <c r="G176" s="8"/>
      <c r="H176" s="11"/>
      <c r="I176" s="8"/>
      <c r="J176" s="11"/>
      <c r="K176" s="8"/>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8" t="str">
        <f t="shared" si="4"/>
        <v/>
      </c>
      <c r="BH176" s="12" t="str" cm="1">
        <f t="array" ref="BH176">_xlfn.TEXTJOIN(" ", TRUE, _xlfn._xlws.FILTER(C176:BF176, MOD(COLUMN(C176:BF176)-COLUMN(BJ176),2)=0))</f>
        <v/>
      </c>
      <c r="BI176" s="11"/>
      <c r="BJ176" s="11"/>
      <c r="BK176" s="11"/>
      <c r="BL176" s="11"/>
      <c r="BM176" s="11"/>
      <c r="BN176" s="11"/>
    </row>
    <row r="177" spans="1:66" ht="14.35" customHeight="1" x14ac:dyDescent="0.45">
      <c r="A177" s="28" t="s">
        <v>155</v>
      </c>
      <c r="B177" s="14" t="s">
        <v>40</v>
      </c>
      <c r="C177" s="8"/>
      <c r="D177" s="11"/>
      <c r="E177" s="8"/>
      <c r="F177" s="11"/>
      <c r="G177" s="8"/>
      <c r="H177" s="11"/>
      <c r="I177" s="8"/>
      <c r="J177" s="11"/>
      <c r="K177" s="17">
        <v>71</v>
      </c>
      <c r="L177" s="11" t="s">
        <v>173</v>
      </c>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8">
        <f t="shared" si="4"/>
        <v>71</v>
      </c>
      <c r="BH177" s="12" t="str" cm="1">
        <f t="array" ref="BH177">_xlfn.TEXTJOIN(" ", TRUE, _xlfn._xlws.FILTER(C177:BF177, MOD(COLUMN(C177:BF177)-COLUMN(BJ177),2)=0))</f>
        <v>GOOD IN BIOLOGY,PHYSIC&amp;SOCIAL</v>
      </c>
      <c r="BI177" s="11"/>
      <c r="BJ177" s="11"/>
      <c r="BK177" s="11"/>
      <c r="BL177" s="11"/>
      <c r="BM177" s="11"/>
      <c r="BN177" s="11"/>
    </row>
    <row r="178" spans="1:66" ht="14.35" customHeight="1" x14ac:dyDescent="0.45">
      <c r="A178" s="29"/>
      <c r="B178" s="14" t="s">
        <v>41</v>
      </c>
      <c r="C178" s="8">
        <v>50</v>
      </c>
      <c r="D178" s="11" t="s">
        <v>101</v>
      </c>
      <c r="E178" s="16">
        <v>65</v>
      </c>
      <c r="F178" s="11" t="s">
        <v>102</v>
      </c>
      <c r="G178" s="8">
        <v>75</v>
      </c>
      <c r="H178" s="11" t="s">
        <v>103</v>
      </c>
      <c r="I178" s="18">
        <v>85</v>
      </c>
      <c r="J178" s="11" t="s">
        <v>103</v>
      </c>
      <c r="K178" s="18">
        <v>85</v>
      </c>
      <c r="L178" s="11" t="s">
        <v>190</v>
      </c>
      <c r="M178" s="18">
        <v>85</v>
      </c>
      <c r="N178" s="11" t="s">
        <v>103</v>
      </c>
      <c r="O178" s="11"/>
      <c r="P178" s="11"/>
      <c r="Q178" s="11"/>
      <c r="R178" s="11"/>
      <c r="S178" s="26">
        <v>85</v>
      </c>
      <c r="T178" s="11" t="s">
        <v>285</v>
      </c>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8">
        <f t="shared" si="4"/>
        <v>75.714285714285708</v>
      </c>
      <c r="BH178" s="12" t="str" cm="1">
        <f t="array" ref="BH178">_xlfn.TEXTJOIN(" ", TRUE, _xlfn._xlws.FILTER(C178:BF178, MOD(COLUMN(C178:BF178)-COLUMN(BJ178),2)=0))</f>
        <v>GOOD IN PLAYING FOOTBALL GOOD IN PLAYING SHUTTLE PLAYING WELL SHUTTLE PLAYING WELL SHUTTLE INTERESTED IN KHO-KHO PLAYING WELL SHUTTLE INTERESTED IN VOLLEYBALL&amp;PARICIPATED IN 100METERS RUNNING RACE</v>
      </c>
      <c r="BI178" s="11"/>
      <c r="BJ178" s="11"/>
      <c r="BK178" s="11"/>
      <c r="BL178" s="11"/>
      <c r="BM178" s="11"/>
      <c r="BN178" s="11"/>
    </row>
    <row r="179" spans="1:66" ht="14.35" customHeight="1" x14ac:dyDescent="0.45">
      <c r="A179" s="29"/>
      <c r="B179" s="14" t="s">
        <v>42</v>
      </c>
      <c r="C179" s="8">
        <v>50</v>
      </c>
      <c r="D179" s="11" t="s">
        <v>105</v>
      </c>
      <c r="E179" s="8">
        <v>50</v>
      </c>
      <c r="F179" s="11" t="s">
        <v>106</v>
      </c>
      <c r="G179" s="8">
        <v>50</v>
      </c>
      <c r="H179" s="11" t="s">
        <v>107</v>
      </c>
      <c r="I179" s="16">
        <v>65</v>
      </c>
      <c r="J179" s="11" t="s">
        <v>157</v>
      </c>
      <c r="K179" s="18">
        <v>85</v>
      </c>
      <c r="L179" s="11" t="s">
        <v>193</v>
      </c>
      <c r="M179" s="16">
        <v>65</v>
      </c>
      <c r="N179" s="11" t="s">
        <v>157</v>
      </c>
      <c r="O179" s="11"/>
      <c r="P179" s="11"/>
      <c r="Q179" s="11"/>
      <c r="R179" s="11"/>
      <c r="S179" s="24">
        <v>90</v>
      </c>
      <c r="T179" s="11" t="s">
        <v>286</v>
      </c>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8">
        <f t="shared" si="4"/>
        <v>65</v>
      </c>
      <c r="BH179" s="12" t="str" cm="1">
        <f t="array" ref="BH179">_xlfn.TEXTJOIN(" ", TRUE, _xlfn._xlws.FILTER(C179:BF179, MOD(COLUMN(C179:BF179)-COLUMN(BJ179),2)=0))</f>
        <v xml:space="preserve">SHOWING INTEREST NEED TO PRATICE ANSWERING WELL PERFORMING WELL NEED MOTIVATION NEED MORE PRACTICE CAN DO BETTER  PERFORMING WELL NEED MOTIVATION INTERESTED IN DRAWING IN COMPUTER  PERFORMING WELL NEED MOTIVATION LEARNING KIRTA 3D ANIMATION </v>
      </c>
      <c r="BI179" s="11"/>
      <c r="BJ179" s="11"/>
      <c r="BK179" s="11"/>
      <c r="BL179" s="11"/>
      <c r="BM179" s="11"/>
      <c r="BN179" s="11"/>
    </row>
    <row r="180" spans="1:66" ht="14.35" customHeight="1" x14ac:dyDescent="0.45">
      <c r="A180" s="29"/>
      <c r="B180" s="14" t="s">
        <v>43</v>
      </c>
      <c r="C180" s="8">
        <v>50</v>
      </c>
      <c r="D180" s="11" t="s">
        <v>70</v>
      </c>
      <c r="E180" s="8">
        <v>50</v>
      </c>
      <c r="F180" s="11" t="s">
        <v>134</v>
      </c>
      <c r="G180" s="16">
        <v>65</v>
      </c>
      <c r="H180" s="11" t="s">
        <v>151</v>
      </c>
      <c r="I180" s="16">
        <v>65</v>
      </c>
      <c r="J180" s="11" t="s">
        <v>130</v>
      </c>
      <c r="K180" s="18">
        <v>85</v>
      </c>
      <c r="L180" s="11" t="s">
        <v>188</v>
      </c>
      <c r="M180" s="11"/>
      <c r="N180" s="11" t="s">
        <v>208</v>
      </c>
      <c r="O180" s="11">
        <v>75</v>
      </c>
      <c r="P180" s="11" t="s">
        <v>226</v>
      </c>
      <c r="Q180" s="11"/>
      <c r="R180" s="11"/>
      <c r="S180" s="26">
        <v>85</v>
      </c>
      <c r="T180" s="11" t="s">
        <v>287</v>
      </c>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8">
        <f t="shared" si="4"/>
        <v>67.857142857142861</v>
      </c>
      <c r="BH180" s="12" t="str" cm="1">
        <f t="array" ref="BH180">_xlfn.TEXTJOIN(" ", TRUE, _xlfn._xlws.FILTER(C180:BF180, MOD(COLUMN(C180:BF180)-COLUMN(BJ180),2)=0))</f>
        <v>AVERAGE PARTICIPATION IN THE CLASS NEED TO PRACTICE TAKING FRIENDS HELP CROSS HATCHING DIMENSIONAL EFFECTS ON THE SURFACE NEED TO REFINE THE FIGURE INTERESTED IN DRAWING WENT TO PARTICEPATE IN ELOCUTION PAYING ATTENTION TO OVERLAPPING ELEMENTS TO AVOID FLOATING LOOK DEVELOPING THE VOLUME AND DEPTH IN THE ART</v>
      </c>
      <c r="BI180" s="11"/>
      <c r="BJ180" s="11"/>
      <c r="BK180" s="11"/>
      <c r="BL180" s="11"/>
      <c r="BM180" s="11"/>
      <c r="BN180" s="11"/>
    </row>
    <row r="181" spans="1:66" ht="14.35" customHeight="1" x14ac:dyDescent="0.45">
      <c r="A181" s="29"/>
      <c r="B181" s="14" t="s">
        <v>44</v>
      </c>
      <c r="C181" s="8"/>
      <c r="D181" s="11" t="s">
        <v>99</v>
      </c>
      <c r="E181" s="8">
        <v>50</v>
      </c>
      <c r="F181" s="11" t="s">
        <v>97</v>
      </c>
      <c r="G181" s="8">
        <v>50</v>
      </c>
      <c r="H181" s="11" t="s">
        <v>116</v>
      </c>
      <c r="I181" s="8">
        <v>50</v>
      </c>
      <c r="J181" s="11" t="s">
        <v>108</v>
      </c>
      <c r="K181" s="18">
        <v>85</v>
      </c>
      <c r="L181" s="11" t="s">
        <v>189</v>
      </c>
      <c r="M181" s="11"/>
      <c r="N181" s="11"/>
      <c r="O181" s="11"/>
      <c r="P181" s="11"/>
      <c r="Q181" s="11"/>
      <c r="R181" s="11"/>
      <c r="S181" s="24">
        <v>90</v>
      </c>
      <c r="T181" s="11" t="s">
        <v>288</v>
      </c>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8">
        <f t="shared" si="4"/>
        <v>65</v>
      </c>
      <c r="BH181" s="12" t="str" cm="1">
        <f t="array" ref="BH181">_xlfn.TEXTJOIN(" ", TRUE, _xlfn._xlws.FILTER(C181:BF181, MOD(COLUMN(C181:BF181)-COLUMN(BJ181),2)=0))</f>
        <v>CLASS CANCELLED AVERAGE PERFORMANCE NEED TO FOCUS ON VOCABULARY GOOD IN READING INTERESTED IN STORY BOOKS INTERESTED IN COMIC BOOKS . READS BOOKS AT HOME WITH HER BROTHER</v>
      </c>
      <c r="BI181" s="11"/>
      <c r="BJ181" s="11"/>
      <c r="BK181" s="11"/>
      <c r="BL181" s="11"/>
      <c r="BM181" s="11"/>
      <c r="BN181" s="11"/>
    </row>
    <row r="182" spans="1:66" ht="14.35" customHeight="1" x14ac:dyDescent="0.45">
      <c r="A182" s="30"/>
      <c r="B182" s="14" t="s">
        <v>45</v>
      </c>
      <c r="C182" s="8"/>
      <c r="D182" s="11"/>
      <c r="E182" s="8"/>
      <c r="F182" s="11"/>
      <c r="G182" s="8"/>
      <c r="H182" s="11"/>
      <c r="I182" s="8"/>
      <c r="J182" s="11"/>
      <c r="K182" s="8"/>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8" t="str">
        <f t="shared" si="4"/>
        <v/>
      </c>
      <c r="BH182" s="12" t="str" cm="1">
        <f t="array" ref="BH182">_xlfn.TEXTJOIN(" ", TRUE, _xlfn._xlws.FILTER(C182:BF182, MOD(COLUMN(C182:BF182)-COLUMN(BJ182),2)=0))</f>
        <v/>
      </c>
      <c r="BI182" s="11"/>
      <c r="BJ182" s="11"/>
      <c r="BK182" s="11"/>
      <c r="BL182" s="11"/>
      <c r="BM182" s="11"/>
      <c r="BN182" s="11"/>
    </row>
    <row r="183" spans="1:66" ht="14.35" customHeight="1" x14ac:dyDescent="0.45">
      <c r="A183" s="28" t="s">
        <v>68</v>
      </c>
      <c r="B183" s="14" t="s">
        <v>40</v>
      </c>
      <c r="C183" s="8"/>
      <c r="D183" s="11"/>
      <c r="E183" s="8"/>
      <c r="F183" s="11"/>
      <c r="G183" s="8"/>
      <c r="H183" s="11"/>
      <c r="I183" s="8"/>
      <c r="J183" s="11"/>
      <c r="K183" s="17">
        <v>92</v>
      </c>
      <c r="L183" s="11" t="s">
        <v>180</v>
      </c>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8">
        <f t="shared" si="4"/>
        <v>92</v>
      </c>
      <c r="BH183" s="12" t="str" cm="1">
        <f t="array" ref="BH183">_xlfn.TEXTJOIN(" ", TRUE, _xlfn._xlws.FILTER(C183:BF183, MOD(COLUMN(C183:BF183)-COLUMN(BJ183),2)=0))</f>
        <v>GOOD IN URDU,BIOLOGY&amp;SOCIAL</v>
      </c>
      <c r="BI183" s="11"/>
      <c r="BJ183" s="11"/>
      <c r="BK183" s="11"/>
      <c r="BL183" s="11"/>
      <c r="BM183" s="11"/>
      <c r="BN183" s="11"/>
    </row>
    <row r="184" spans="1:66" ht="14.35" customHeight="1" x14ac:dyDescent="0.45">
      <c r="A184" s="29"/>
      <c r="B184" s="14" t="s">
        <v>41</v>
      </c>
      <c r="C184" s="8">
        <v>50</v>
      </c>
      <c r="D184" s="11" t="s">
        <v>101</v>
      </c>
      <c r="E184" s="16">
        <v>65</v>
      </c>
      <c r="F184" s="11" t="s">
        <v>102</v>
      </c>
      <c r="G184" s="8">
        <v>75</v>
      </c>
      <c r="H184" s="11" t="s">
        <v>103</v>
      </c>
      <c r="I184" s="18">
        <v>85</v>
      </c>
      <c r="J184" s="11" t="s">
        <v>103</v>
      </c>
      <c r="K184" s="18">
        <v>85</v>
      </c>
      <c r="L184" s="11" t="s">
        <v>192</v>
      </c>
      <c r="M184" s="18">
        <v>85</v>
      </c>
      <c r="N184" s="11" t="s">
        <v>103</v>
      </c>
      <c r="O184" s="11"/>
      <c r="P184" s="11"/>
      <c r="Q184" s="11"/>
      <c r="R184" s="11"/>
      <c r="S184" s="26">
        <v>85</v>
      </c>
      <c r="T184" s="11" t="s">
        <v>285</v>
      </c>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8">
        <f t="shared" si="4"/>
        <v>75.714285714285708</v>
      </c>
      <c r="BH184" s="12" t="str" cm="1">
        <f t="array" ref="BH184">_xlfn.TEXTJOIN(" ", TRUE, _xlfn._xlws.FILTER(C184:BF184, MOD(COLUMN(C184:BF184)-COLUMN(BJ184),2)=0))</f>
        <v>GOOD IN PLAYING FOOTBALL GOOD IN PLAYING SHUTTLE PLAYING WELL SHUTTLE PLAYING WELL SHUTTLE INTERESTED IN SHUTTLE PLAYING WELL SHUTTLE INTERESTED IN VOLLEYBALL&amp;PARICIPATED IN 100METERS RUNNING RACE</v>
      </c>
      <c r="BI184" s="11"/>
      <c r="BJ184" s="11"/>
      <c r="BK184" s="11"/>
      <c r="BL184" s="11"/>
      <c r="BM184" s="11"/>
      <c r="BN184" s="11"/>
    </row>
    <row r="185" spans="1:66" ht="14.35" customHeight="1" x14ac:dyDescent="0.45">
      <c r="A185" s="29"/>
      <c r="B185" s="14" t="s">
        <v>42</v>
      </c>
      <c r="C185" s="8">
        <v>50</v>
      </c>
      <c r="D185" s="11" t="s">
        <v>105</v>
      </c>
      <c r="E185" s="8">
        <v>50</v>
      </c>
      <c r="F185" s="11" t="s">
        <v>106</v>
      </c>
      <c r="G185" s="8">
        <v>50</v>
      </c>
      <c r="H185" s="11" t="s">
        <v>107</v>
      </c>
      <c r="I185" s="16">
        <v>65</v>
      </c>
      <c r="J185" s="11" t="s">
        <v>157</v>
      </c>
      <c r="K185" s="18">
        <v>85</v>
      </c>
      <c r="L185" s="11" t="s">
        <v>193</v>
      </c>
      <c r="M185" s="16">
        <v>65</v>
      </c>
      <c r="N185" s="11" t="s">
        <v>157</v>
      </c>
      <c r="O185" s="11"/>
      <c r="P185" s="11"/>
      <c r="Q185" s="11"/>
      <c r="R185" s="11"/>
      <c r="S185" s="24">
        <v>90</v>
      </c>
      <c r="T185" s="11" t="s">
        <v>286</v>
      </c>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8">
        <f t="shared" si="4"/>
        <v>65</v>
      </c>
      <c r="BH185" s="12" t="str" cm="1">
        <f t="array" ref="BH185">_xlfn.TEXTJOIN(" ", TRUE, _xlfn._xlws.FILTER(C185:BF185, MOD(COLUMN(C185:BF185)-COLUMN(BJ185),2)=0))</f>
        <v xml:space="preserve">SHOWING INTEREST NEED TO PRATICE ANSWERING WELL PERFORMING WELL NEED MOTIVATION NEED MORE PRACTICE CAN DO BETTER  PERFORMING WELL NEED MOTIVATION INTERESTED IN DRAWING IN COMPUTER  PERFORMING WELL NEED MOTIVATION LEARNING KIRTA 3D ANIMATION </v>
      </c>
      <c r="BI185" s="11"/>
      <c r="BJ185" s="11"/>
      <c r="BK185" s="11"/>
      <c r="BL185" s="11"/>
      <c r="BM185" s="11"/>
      <c r="BN185" s="11"/>
    </row>
    <row r="186" spans="1:66" ht="14.35" customHeight="1" x14ac:dyDescent="0.45">
      <c r="A186" s="29"/>
      <c r="B186" s="14" t="s">
        <v>43</v>
      </c>
      <c r="C186" s="8">
        <v>50</v>
      </c>
      <c r="D186" s="11" t="s">
        <v>85</v>
      </c>
      <c r="E186" s="8">
        <v>50</v>
      </c>
      <c r="F186" s="11" t="s">
        <v>97</v>
      </c>
      <c r="G186" s="16">
        <v>65</v>
      </c>
      <c r="H186" s="11" t="s">
        <v>150</v>
      </c>
      <c r="I186" s="8">
        <v>75</v>
      </c>
      <c r="J186" s="11" t="s">
        <v>139</v>
      </c>
      <c r="K186" s="8">
        <v>75</v>
      </c>
      <c r="L186" s="11" t="s">
        <v>188</v>
      </c>
      <c r="M186" s="11"/>
      <c r="N186" s="11" t="s">
        <v>208</v>
      </c>
      <c r="O186" s="11">
        <v>70</v>
      </c>
      <c r="P186" s="11" t="s">
        <v>225</v>
      </c>
      <c r="Q186" s="11"/>
      <c r="R186" s="11"/>
      <c r="S186" s="26">
        <v>85</v>
      </c>
      <c r="T186" s="11" t="s">
        <v>287</v>
      </c>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8">
        <f t="shared" si="4"/>
        <v>67.142857142857139</v>
      </c>
      <c r="BH186" s="12" t="str" cm="1">
        <f t="array" ref="BH186">_xlfn.TEXTJOIN(" ", TRUE, _xlfn._xlws.FILTER(C186:BF186, MOD(COLUMN(C186:BF186)-COLUMN(BJ186),2)=0))</f>
        <v>BIT SLOW IN THE CLASS NEED CONCENTRATION AVERAGE PERFORMANCE SHOWING VARIATION IN COMPLEX TONE UTILIZING THE LINES NEATLY INTERESTED IN DRAWING WENT TO PARTICEPATE IN ELOCUTION CONTINUE PRACTICING WITH DIFFERENT LINE LENGTH DEVELOPING THE VOLUME AND DEPTH IN THE ART</v>
      </c>
      <c r="BI186" s="11"/>
      <c r="BJ186" s="11"/>
      <c r="BK186" s="11"/>
      <c r="BL186" s="11"/>
      <c r="BM186" s="11"/>
      <c r="BN186" s="11"/>
    </row>
    <row r="187" spans="1:66" ht="14.35" customHeight="1" x14ac:dyDescent="0.45">
      <c r="A187" s="29"/>
      <c r="B187" s="14" t="s">
        <v>44</v>
      </c>
      <c r="C187" s="8"/>
      <c r="D187" s="11" t="s">
        <v>99</v>
      </c>
      <c r="E187" s="8">
        <v>25</v>
      </c>
      <c r="F187" s="11" t="s">
        <v>77</v>
      </c>
      <c r="G187" s="8">
        <v>50</v>
      </c>
      <c r="H187" s="11" t="s">
        <v>115</v>
      </c>
      <c r="I187" s="8">
        <v>25</v>
      </c>
      <c r="J187" s="11" t="s">
        <v>170</v>
      </c>
      <c r="K187" s="8">
        <v>75</v>
      </c>
      <c r="L187" s="11" t="s">
        <v>189</v>
      </c>
      <c r="M187" s="11"/>
      <c r="N187" s="11"/>
      <c r="O187" s="11"/>
      <c r="P187" s="11"/>
      <c r="Q187" s="11"/>
      <c r="R187" s="11"/>
      <c r="S187" s="24">
        <v>90</v>
      </c>
      <c r="T187" s="11" t="s">
        <v>288</v>
      </c>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8">
        <f t="shared" si="4"/>
        <v>53</v>
      </c>
      <c r="BH187" s="12" t="str" cm="1">
        <f t="array" ref="BH187">_xlfn.TEXTJOIN(" ", TRUE, _xlfn._xlws.FILTER(C187:BF187, MOD(COLUMN(C187:BF187)-COLUMN(BJ187),2)=0))</f>
        <v>CLASS CANCELLED NEUTRAL PARTICIPATION NEED TO IMPROVE READING ABILITY NEUTRAL PARTCIPATION INTERESTED IN STORY BOOKS INTERESTED IN COMIC BOOKS . READS BOOKS AT HOME WITH HER BROTHER</v>
      </c>
      <c r="BI187" s="11"/>
      <c r="BJ187" s="11"/>
      <c r="BK187" s="11"/>
      <c r="BL187" s="11"/>
      <c r="BM187" s="11"/>
      <c r="BN187" s="11"/>
    </row>
    <row r="188" spans="1:66" ht="14.35" customHeight="1" x14ac:dyDescent="0.45">
      <c r="A188" s="30"/>
      <c r="B188" s="14" t="s">
        <v>45</v>
      </c>
      <c r="C188" s="8"/>
      <c r="D188" s="11"/>
      <c r="E188" s="8"/>
      <c r="F188" s="11"/>
      <c r="G188" s="8"/>
      <c r="H188" s="11"/>
      <c r="I188" s="8"/>
      <c r="J188" s="11"/>
      <c r="K188" s="8"/>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8" t="str">
        <f t="shared" si="4"/>
        <v/>
      </c>
      <c r="BH188" s="12" t="str" cm="1">
        <f t="array" ref="BH188">_xlfn.TEXTJOIN(" ", TRUE, _xlfn._xlws.FILTER(C188:BF188, MOD(COLUMN(C188:BF188)-COLUMN(BJ188),2)=0))</f>
        <v/>
      </c>
      <c r="BI188" s="11"/>
      <c r="BJ188" s="11"/>
      <c r="BK188" s="11"/>
      <c r="BL188" s="11"/>
      <c r="BM188" s="11"/>
      <c r="BN188" s="11"/>
    </row>
    <row r="189" spans="1:66" ht="14.35" customHeight="1" x14ac:dyDescent="0.45">
      <c r="A189" s="28" t="s">
        <v>87</v>
      </c>
      <c r="B189" s="14" t="s">
        <v>40</v>
      </c>
      <c r="C189" s="8"/>
      <c r="D189" s="11"/>
      <c r="E189" s="8"/>
      <c r="F189" s="11"/>
      <c r="G189" s="8"/>
      <c r="H189" s="11"/>
      <c r="I189" s="8"/>
      <c r="J189" s="11"/>
      <c r="K189" s="17">
        <v>64</v>
      </c>
      <c r="L189" s="11" t="s">
        <v>177</v>
      </c>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8">
        <f t="shared" si="4"/>
        <v>64</v>
      </c>
      <c r="BH189" s="12" t="str" cm="1">
        <f t="array" ref="BH189">_xlfn.TEXTJOIN(" ", TRUE, _xlfn._xlws.FILTER(C189:BF189, MOD(COLUMN(C189:BF189)-COLUMN(BJ189),2)=0))</f>
        <v>GOOD IN PHYSIC&amp;SOCIAL</v>
      </c>
      <c r="BI189" s="11"/>
      <c r="BJ189" s="11"/>
      <c r="BK189" s="11"/>
      <c r="BL189" s="11"/>
      <c r="BM189" s="11"/>
      <c r="BN189" s="11"/>
    </row>
    <row r="190" spans="1:66" ht="14.35" customHeight="1" x14ac:dyDescent="0.45">
      <c r="A190" s="29"/>
      <c r="B190" s="14" t="s">
        <v>41</v>
      </c>
      <c r="C190" s="8">
        <v>50</v>
      </c>
      <c r="D190" s="11" t="s">
        <v>101</v>
      </c>
      <c r="E190" s="16">
        <v>65</v>
      </c>
      <c r="F190" s="11" t="s">
        <v>102</v>
      </c>
      <c r="G190" s="8">
        <v>75</v>
      </c>
      <c r="H190" s="11" t="s">
        <v>103</v>
      </c>
      <c r="I190" s="18">
        <v>85</v>
      </c>
      <c r="J190" s="11" t="s">
        <v>103</v>
      </c>
      <c r="K190" s="18">
        <v>85</v>
      </c>
      <c r="L190" s="11" t="s">
        <v>192</v>
      </c>
      <c r="M190" s="18">
        <v>85</v>
      </c>
      <c r="N190" s="11" t="s">
        <v>103</v>
      </c>
      <c r="O190" s="11"/>
      <c r="P190" s="11"/>
      <c r="Q190" s="11"/>
      <c r="R190" s="11"/>
      <c r="S190" s="26">
        <v>85</v>
      </c>
      <c r="T190" s="11" t="s">
        <v>285</v>
      </c>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8">
        <f t="shared" si="4"/>
        <v>75.714285714285708</v>
      </c>
      <c r="BH190" s="12" t="str" cm="1">
        <f t="array" ref="BH190">_xlfn.TEXTJOIN(" ", TRUE, _xlfn._xlws.FILTER(C190:BF190, MOD(COLUMN(C190:BF190)-COLUMN(BJ190),2)=0))</f>
        <v>GOOD IN PLAYING FOOTBALL GOOD IN PLAYING SHUTTLE PLAYING WELL SHUTTLE PLAYING WELL SHUTTLE INTERESTED IN SHUTTLE PLAYING WELL SHUTTLE INTERESTED IN VOLLEYBALL&amp;PARICIPATED IN 100METERS RUNNING RACE</v>
      </c>
      <c r="BI190" s="11"/>
      <c r="BJ190" s="11"/>
      <c r="BK190" s="11"/>
      <c r="BL190" s="11"/>
      <c r="BM190" s="11"/>
      <c r="BN190" s="11"/>
    </row>
    <row r="191" spans="1:66" ht="14.35" customHeight="1" x14ac:dyDescent="0.45">
      <c r="A191" s="29"/>
      <c r="B191" s="14" t="s">
        <v>42</v>
      </c>
      <c r="C191" s="8">
        <v>50</v>
      </c>
      <c r="D191" s="11" t="s">
        <v>105</v>
      </c>
      <c r="E191" s="8">
        <v>50</v>
      </c>
      <c r="F191" s="11" t="s">
        <v>106</v>
      </c>
      <c r="G191" s="8">
        <v>50</v>
      </c>
      <c r="H191" s="11" t="s">
        <v>107</v>
      </c>
      <c r="I191" s="16">
        <v>65</v>
      </c>
      <c r="J191" s="11" t="s">
        <v>157</v>
      </c>
      <c r="K191" s="18">
        <v>85</v>
      </c>
      <c r="L191" s="11" t="s">
        <v>193</v>
      </c>
      <c r="M191" s="16">
        <v>65</v>
      </c>
      <c r="N191" s="11" t="s">
        <v>157</v>
      </c>
      <c r="O191" s="11"/>
      <c r="P191" s="11"/>
      <c r="Q191" s="11"/>
      <c r="R191" s="11"/>
      <c r="S191" s="24">
        <v>90</v>
      </c>
      <c r="T191" s="11" t="s">
        <v>286</v>
      </c>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8">
        <f t="shared" si="4"/>
        <v>65</v>
      </c>
      <c r="BH191" s="12" t="str" cm="1">
        <f t="array" ref="BH191">_xlfn.TEXTJOIN(" ", TRUE, _xlfn._xlws.FILTER(C191:BF191, MOD(COLUMN(C191:BF191)-COLUMN(BJ191),2)=0))</f>
        <v xml:space="preserve">SHOWING INTEREST NEED TO PRATICE ANSWERING WELL PERFORMING WELL NEED MOTIVATION NEED MORE PRACTICE CAN DO BETTER  PERFORMING WELL NEED MOTIVATION INTERESTED IN DRAWING IN COMPUTER  PERFORMING WELL NEED MOTIVATION LEARNING KIRTA 3D ANIMATION </v>
      </c>
      <c r="BI191" s="11"/>
      <c r="BJ191" s="11"/>
      <c r="BK191" s="11"/>
      <c r="BL191" s="11"/>
      <c r="BM191" s="11"/>
      <c r="BN191" s="11"/>
    </row>
    <row r="192" spans="1:66" ht="14.35" customHeight="1" x14ac:dyDescent="0.45">
      <c r="A192" s="29"/>
      <c r="B192" s="14" t="s">
        <v>43</v>
      </c>
      <c r="C192" s="16">
        <v>65</v>
      </c>
      <c r="D192" s="11" t="s">
        <v>75</v>
      </c>
      <c r="E192" s="11">
        <v>75</v>
      </c>
      <c r="F192" s="11" t="s">
        <v>135</v>
      </c>
      <c r="G192" s="16">
        <v>65</v>
      </c>
      <c r="H192" s="11" t="s">
        <v>149</v>
      </c>
      <c r="I192" s="8">
        <v>75</v>
      </c>
      <c r="J192" s="11" t="s">
        <v>133</v>
      </c>
      <c r="K192" s="8">
        <v>75</v>
      </c>
      <c r="L192" s="11" t="s">
        <v>188</v>
      </c>
      <c r="M192" s="20">
        <v>70</v>
      </c>
      <c r="N192" s="11" t="s">
        <v>207</v>
      </c>
      <c r="O192" s="11" t="s">
        <v>72</v>
      </c>
      <c r="P192" s="11" t="s">
        <v>72</v>
      </c>
      <c r="Q192" s="11"/>
      <c r="R192" s="11"/>
      <c r="S192" s="26">
        <v>85</v>
      </c>
      <c r="T192" s="11" t="s">
        <v>131</v>
      </c>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8">
        <f t="shared" si="4"/>
        <v>72.857142857142861</v>
      </c>
      <c r="BH192" s="12" t="str" cm="1">
        <f t="array" ref="BH192">_xlfn.TEXTJOIN(" ", TRUE, _xlfn._xlws.FILTER(C192:BF192, MOD(COLUMN(C192:BF192)-COLUMN(BJ192),2)=0))</f>
        <v>HELPING HER FRIEND,SHE ALSO NEED TO IMPROVE GOOD IN DRAWING COMPLETING THE FIGURE WELL SHOWING INTEREST GOOD IN CREATING SMOOTH SOFT EDGES GOOD IN VISUAL COMPONENTS INTERESTED IN DRAWING TRYING TO SIM,PLIFY THE FIGURE AB TRYING TO SIMPLIFY THE FIGURE</v>
      </c>
      <c r="BI192" s="11"/>
      <c r="BJ192" s="11"/>
      <c r="BK192" s="11"/>
      <c r="BL192" s="11"/>
      <c r="BM192" s="11"/>
      <c r="BN192" s="11"/>
    </row>
    <row r="193" spans="1:66" ht="14.35" customHeight="1" x14ac:dyDescent="0.45">
      <c r="A193" s="29"/>
      <c r="B193" s="14" t="s">
        <v>44</v>
      </c>
      <c r="C193" s="8"/>
      <c r="D193" s="11" t="s">
        <v>99</v>
      </c>
      <c r="E193" s="8" t="s">
        <v>72</v>
      </c>
      <c r="F193" s="11" t="s">
        <v>86</v>
      </c>
      <c r="G193" s="8">
        <v>50</v>
      </c>
      <c r="H193" s="11" t="s">
        <v>118</v>
      </c>
      <c r="I193" s="8">
        <v>50</v>
      </c>
      <c r="J193" s="11" t="s">
        <v>108</v>
      </c>
      <c r="K193" s="8">
        <v>75</v>
      </c>
      <c r="L193" s="11" t="s">
        <v>197</v>
      </c>
      <c r="M193" s="11"/>
      <c r="N193" s="11"/>
      <c r="O193" s="11"/>
      <c r="P193" s="11"/>
      <c r="Q193" s="11">
        <v>25</v>
      </c>
      <c r="R193" s="11" t="s">
        <v>77</v>
      </c>
      <c r="S193" s="24">
        <v>90</v>
      </c>
      <c r="T193" s="11" t="s">
        <v>288</v>
      </c>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8">
        <f t="shared" si="4"/>
        <v>58</v>
      </c>
      <c r="BH193" s="12" t="str" cm="1">
        <f t="array" ref="BH193">_xlfn.TEXTJOIN(" ", TRUE, _xlfn._xlws.FILTER(C193:BF193, MOD(COLUMN(C193:BF193)-COLUMN(BJ193),2)=0))</f>
        <v>CLASS CANCELLED ABSENT GOOD IN READING SHOWING INTEREST GOOD IN READING INTERESTED IN MORAL BOOKS NEUTRAL PARTICIPATION INTERESTED IN COMIC BOOKS . READS BOOKS AT HOME WITH HER BROTHER</v>
      </c>
      <c r="BI193" s="11"/>
      <c r="BJ193" s="11"/>
      <c r="BK193" s="11"/>
      <c r="BL193" s="11"/>
      <c r="BM193" s="11"/>
      <c r="BN193" s="11"/>
    </row>
    <row r="194" spans="1:66" ht="14.35" customHeight="1" x14ac:dyDescent="0.45">
      <c r="A194" s="30"/>
      <c r="B194" s="14" t="s">
        <v>45</v>
      </c>
      <c r="C194" s="8"/>
      <c r="D194" s="11"/>
      <c r="E194" s="8"/>
      <c r="F194" s="11"/>
      <c r="G194" s="8"/>
      <c r="H194" s="11"/>
      <c r="I194" s="8"/>
      <c r="J194" s="11"/>
      <c r="K194" s="8"/>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8" t="str">
        <f t="shared" si="4"/>
        <v/>
      </c>
      <c r="BH194" s="12" t="str" cm="1">
        <f t="array" ref="BH194">_xlfn.TEXTJOIN(" ", TRUE, _xlfn._xlws.FILTER(C194:BF194, MOD(COLUMN(C194:BF194)-COLUMN(BJ194),2)=0))</f>
        <v/>
      </c>
      <c r="BI194" s="11"/>
      <c r="BJ194" s="11"/>
      <c r="BK194" s="11"/>
      <c r="BL194" s="11"/>
      <c r="BM194" s="11"/>
      <c r="BN194" s="11"/>
    </row>
    <row r="195" spans="1:66" x14ac:dyDescent="0.45">
      <c r="A195" s="28" t="s">
        <v>76</v>
      </c>
      <c r="B195" s="14" t="s">
        <v>40</v>
      </c>
      <c r="C195" s="8"/>
      <c r="D195" s="11"/>
      <c r="E195" s="8"/>
      <c r="F195" s="11"/>
      <c r="G195" s="8"/>
      <c r="H195" s="11"/>
      <c r="I195" s="8"/>
      <c r="J195" s="11"/>
      <c r="K195" s="17">
        <v>50</v>
      </c>
      <c r="L195" s="11" t="s">
        <v>175</v>
      </c>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8">
        <f t="shared" si="4"/>
        <v>50</v>
      </c>
      <c r="BH195" s="12" t="str" cm="1">
        <f t="array" ref="BH195">_xlfn.TEXTJOIN(" ", TRUE, _xlfn._xlws.FILTER(C195:BF195, MOD(COLUMN(C195:BF195)-COLUMN(BJ195),2)=0))</f>
        <v>AVERAGE PERFORMANCE IN STUIDIES</v>
      </c>
    </row>
    <row r="196" spans="1:66" ht="14.35" customHeight="1" x14ac:dyDescent="0.45">
      <c r="A196" s="29"/>
      <c r="B196" s="14" t="s">
        <v>41</v>
      </c>
      <c r="C196" s="8">
        <v>50</v>
      </c>
      <c r="D196" s="11" t="s">
        <v>101</v>
      </c>
      <c r="E196" s="16">
        <v>65</v>
      </c>
      <c r="F196" s="11" t="s">
        <v>102</v>
      </c>
      <c r="G196" s="8">
        <v>75</v>
      </c>
      <c r="H196" s="11" t="s">
        <v>103</v>
      </c>
      <c r="I196" s="18">
        <v>85</v>
      </c>
      <c r="J196" s="11" t="s">
        <v>103</v>
      </c>
      <c r="K196" s="18">
        <v>85</v>
      </c>
      <c r="L196" s="11" t="s">
        <v>192</v>
      </c>
      <c r="M196" s="18">
        <v>85</v>
      </c>
      <c r="N196" s="11" t="s">
        <v>103</v>
      </c>
      <c r="O196" s="11"/>
      <c r="P196" s="11"/>
      <c r="Q196" s="11"/>
      <c r="R196" s="11"/>
      <c r="S196" s="27">
        <v>65</v>
      </c>
      <c r="T196" s="11" t="s">
        <v>276</v>
      </c>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8">
        <f t="shared" si="4"/>
        <v>72.857142857142861</v>
      </c>
      <c r="BH196" s="12" t="str" cm="1">
        <f t="array" ref="BH196">_xlfn.TEXTJOIN(" ", TRUE, _xlfn._xlws.FILTER(C196:BF196, MOD(COLUMN(C196:BF196)-COLUMN(BJ196),2)=0))</f>
        <v>GOOD IN PLAYING FOOTBALL GOOD IN PLAYING SHUTTLE PLAYING WELL SHUTTLE PLAYING WELL SHUTTLE INTERESTED IN SHUTTLE PLAYING WELL SHUTTLE NOT PARICIPATED IN ANY GAMES DUE TO HEALTH ISSUE,BUT LIKES KHOKHO</v>
      </c>
    </row>
    <row r="197" spans="1:66" ht="14.35" customHeight="1" x14ac:dyDescent="0.45">
      <c r="A197" s="29"/>
      <c r="B197" s="14" t="s">
        <v>42</v>
      </c>
      <c r="C197" s="8">
        <v>50</v>
      </c>
      <c r="D197" s="11" t="s">
        <v>105</v>
      </c>
      <c r="E197" s="8">
        <v>50</v>
      </c>
      <c r="F197" s="11" t="s">
        <v>106</v>
      </c>
      <c r="G197" s="8">
        <v>50</v>
      </c>
      <c r="H197" s="11" t="s">
        <v>107</v>
      </c>
      <c r="I197" s="16">
        <v>65</v>
      </c>
      <c r="J197" s="11" t="s">
        <v>157</v>
      </c>
      <c r="K197" s="8">
        <v>75</v>
      </c>
      <c r="L197" s="11" t="s">
        <v>193</v>
      </c>
      <c r="M197" s="16">
        <v>65</v>
      </c>
      <c r="N197" s="11" t="s">
        <v>157</v>
      </c>
      <c r="O197" s="11"/>
      <c r="P197" s="11"/>
      <c r="Q197" s="11"/>
      <c r="R197" s="11"/>
      <c r="S197" s="11">
        <v>75</v>
      </c>
      <c r="T197" s="11" t="s">
        <v>258</v>
      </c>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8">
        <f t="shared" si="4"/>
        <v>61.428571428571431</v>
      </c>
      <c r="BH197" s="12" t="str" cm="1">
        <f t="array" ref="BH197">_xlfn.TEXTJOIN(" ", TRUE, _xlfn._xlws.FILTER(C197:BF197, MOD(COLUMN(C197:BF197)-COLUMN(BJ197),2)=0))</f>
        <v>SHOWING INTEREST NEED TO PRATICE ANSWERING WELL PERFORMING WELL NEED MOTIVATION NEED MORE PRACTICE CAN DO BETTER  PERFORMING WELL NEED MOTIVATION INTERESTED IN DRAWING IN COMPUTER  PERFORMING WELL NEED MOTIVATION BASIC SKILLS LIKE TYPING</v>
      </c>
    </row>
    <row r="198" spans="1:66" ht="14.35" customHeight="1" x14ac:dyDescent="0.45">
      <c r="A198" s="29"/>
      <c r="B198" s="14" t="s">
        <v>43</v>
      </c>
      <c r="C198" s="8">
        <v>25</v>
      </c>
      <c r="D198" s="11" t="s">
        <v>77</v>
      </c>
      <c r="E198" s="8">
        <v>25</v>
      </c>
      <c r="F198" s="11" t="s">
        <v>77</v>
      </c>
      <c r="G198" s="16">
        <v>65</v>
      </c>
      <c r="H198" s="11" t="s">
        <v>142</v>
      </c>
      <c r="I198" s="8">
        <v>75</v>
      </c>
      <c r="J198" s="11" t="s">
        <v>131</v>
      </c>
      <c r="K198" s="18">
        <v>85</v>
      </c>
      <c r="L198" s="11" t="s">
        <v>188</v>
      </c>
      <c r="M198" s="8">
        <v>75</v>
      </c>
      <c r="N198" s="11" t="s">
        <v>206</v>
      </c>
      <c r="O198" s="11">
        <v>80</v>
      </c>
      <c r="P198" s="11" t="s">
        <v>224</v>
      </c>
      <c r="Q198" s="11"/>
      <c r="R198" s="11"/>
      <c r="S198" s="11">
        <v>75</v>
      </c>
      <c r="T198" s="11" t="s">
        <v>273</v>
      </c>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8">
        <f t="shared" si="4"/>
        <v>63.125</v>
      </c>
      <c r="BH198" s="12" t="str" cm="1">
        <f t="array" ref="BH198">_xlfn.TEXTJOIN(" ", TRUE, _xlfn._xlws.FILTER(C198:BF198, MOD(COLUMN(C198:BF198)-COLUMN(BJ198),2)=0))</f>
        <v>NEUTRAL PARTICIPATION NEUTRAL PARTICIPATION ILLUMINATING THE SHADOWED AREA OF THE OBJECT TRYING TO SIMPLIFY THE FIGURE INTERESTED IN DRAWING DRAWING WELL NEED MORE PRACTICE OBSERVING THE SUBJECT ANGLES AND DISTANCE BEFORE COMMITTING TO DARK LINES GOOD IN SMOOTH OUT PENCIL STROKES</v>
      </c>
    </row>
    <row r="199" spans="1:66" x14ac:dyDescent="0.45">
      <c r="A199" s="29"/>
      <c r="B199" s="14" t="s">
        <v>44</v>
      </c>
      <c r="C199" s="8"/>
      <c r="D199" s="11" t="s">
        <v>99</v>
      </c>
      <c r="E199" s="8">
        <v>50</v>
      </c>
      <c r="F199" s="11" t="s">
        <v>95</v>
      </c>
      <c r="G199" s="8">
        <v>50</v>
      </c>
      <c r="H199" s="11" t="s">
        <v>108</v>
      </c>
      <c r="I199" s="8">
        <v>25</v>
      </c>
      <c r="J199" s="11" t="s">
        <v>170</v>
      </c>
      <c r="K199" s="18">
        <v>85</v>
      </c>
      <c r="L199" s="11" t="s">
        <v>196</v>
      </c>
      <c r="M199" s="11"/>
      <c r="N199" s="11"/>
      <c r="O199" s="11"/>
      <c r="P199" s="11"/>
      <c r="Q199" s="11">
        <v>25</v>
      </c>
      <c r="R199" s="11" t="s">
        <v>77</v>
      </c>
      <c r="S199" s="11">
        <v>75</v>
      </c>
      <c r="T199" s="11" t="s">
        <v>277</v>
      </c>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row>
    <row r="200" spans="1:66" x14ac:dyDescent="0.45">
      <c r="A200" s="30"/>
      <c r="B200" s="14" t="s">
        <v>45</v>
      </c>
      <c r="C200" s="8"/>
      <c r="D200" s="11"/>
      <c r="E200" s="8"/>
      <c r="F200" s="11"/>
      <c r="G200" s="8"/>
      <c r="H200" s="11"/>
      <c r="I200" s="8"/>
      <c r="J200" s="11"/>
      <c r="K200" s="8"/>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row>
    <row r="201" spans="1:66" x14ac:dyDescent="0.45">
      <c r="A201" s="28" t="s">
        <v>282</v>
      </c>
      <c r="B201" s="14" t="s">
        <v>40</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row>
    <row r="202" spans="1:66" x14ac:dyDescent="0.45">
      <c r="A202" s="29"/>
      <c r="B202" s="14" t="s">
        <v>41</v>
      </c>
      <c r="C202" s="8">
        <v>50</v>
      </c>
      <c r="D202" s="11" t="s">
        <v>284</v>
      </c>
      <c r="E202" s="16">
        <v>65</v>
      </c>
      <c r="F202" s="11" t="s">
        <v>102</v>
      </c>
      <c r="G202" s="8">
        <v>75</v>
      </c>
      <c r="H202" s="11" t="s">
        <v>103</v>
      </c>
      <c r="I202" s="18">
        <v>85</v>
      </c>
      <c r="J202" s="11" t="s">
        <v>103</v>
      </c>
      <c r="K202" s="11"/>
      <c r="L202" s="11"/>
      <c r="M202" s="18">
        <v>85</v>
      </c>
      <c r="N202" s="11" t="s">
        <v>103</v>
      </c>
      <c r="O202" s="11"/>
      <c r="P202" s="11"/>
      <c r="Q202" s="11"/>
      <c r="R202" s="11"/>
      <c r="S202" s="26">
        <v>85</v>
      </c>
      <c r="T202" s="11" t="s">
        <v>285</v>
      </c>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row>
    <row r="203" spans="1:66" x14ac:dyDescent="0.45">
      <c r="A203" s="29"/>
      <c r="B203" s="14" t="s">
        <v>42</v>
      </c>
      <c r="C203" s="8">
        <v>50</v>
      </c>
      <c r="D203" s="11" t="s">
        <v>105</v>
      </c>
      <c r="E203" s="8">
        <v>50</v>
      </c>
      <c r="F203" s="11" t="s">
        <v>106</v>
      </c>
      <c r="G203" s="8">
        <v>50</v>
      </c>
      <c r="H203" s="11" t="s">
        <v>107</v>
      </c>
      <c r="I203" s="16">
        <v>65</v>
      </c>
      <c r="J203" s="11" t="s">
        <v>157</v>
      </c>
      <c r="K203" s="11" t="s">
        <v>72</v>
      </c>
      <c r="L203" s="11"/>
      <c r="M203" s="16">
        <v>65</v>
      </c>
      <c r="N203" s="11" t="s">
        <v>157</v>
      </c>
      <c r="O203" s="11"/>
      <c r="P203" s="11"/>
      <c r="Q203" s="11"/>
      <c r="R203" s="11"/>
      <c r="S203" s="24">
        <v>90</v>
      </c>
      <c r="T203" s="11" t="s">
        <v>286</v>
      </c>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row>
    <row r="204" spans="1:66" x14ac:dyDescent="0.45">
      <c r="A204" s="29"/>
      <c r="B204" s="14" t="s">
        <v>43</v>
      </c>
      <c r="C204" s="8">
        <v>50</v>
      </c>
      <c r="D204" s="11" t="s">
        <v>83</v>
      </c>
      <c r="E204" s="8">
        <v>50</v>
      </c>
      <c r="F204" s="11" t="s">
        <v>97</v>
      </c>
      <c r="G204" s="16">
        <v>65</v>
      </c>
      <c r="H204" s="11" t="s">
        <v>150</v>
      </c>
      <c r="I204" s="8">
        <v>75</v>
      </c>
      <c r="J204" s="11" t="s">
        <v>133</v>
      </c>
      <c r="K204" s="11"/>
      <c r="L204" s="11"/>
      <c r="M204" s="11"/>
      <c r="N204" s="11" t="s">
        <v>208</v>
      </c>
      <c r="O204" s="11"/>
      <c r="P204" s="11"/>
      <c r="Q204" s="11"/>
      <c r="R204" s="11"/>
      <c r="S204" s="26">
        <v>85</v>
      </c>
      <c r="T204" s="11" t="s">
        <v>287</v>
      </c>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row>
    <row r="205" spans="1:66" x14ac:dyDescent="0.45">
      <c r="A205" s="29"/>
      <c r="B205" s="14" t="s">
        <v>44</v>
      </c>
      <c r="C205" s="8"/>
      <c r="D205" s="11" t="s">
        <v>99</v>
      </c>
      <c r="E205" s="8">
        <v>25</v>
      </c>
      <c r="F205" s="11" t="s">
        <v>77</v>
      </c>
      <c r="G205" s="8">
        <v>50</v>
      </c>
      <c r="H205" s="11" t="s">
        <v>108</v>
      </c>
      <c r="I205" s="8">
        <v>50</v>
      </c>
      <c r="J205" s="11" t="s">
        <v>169</v>
      </c>
      <c r="K205" s="11"/>
      <c r="L205" s="11"/>
      <c r="M205" s="11"/>
      <c r="N205" s="11"/>
      <c r="O205" s="11"/>
      <c r="P205" s="11"/>
      <c r="Q205" s="11"/>
      <c r="R205" s="11"/>
      <c r="S205" s="24">
        <v>90</v>
      </c>
      <c r="T205" s="11" t="s">
        <v>288</v>
      </c>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row>
    <row r="206" spans="1:66" x14ac:dyDescent="0.45">
      <c r="A206" s="30"/>
      <c r="B206" s="14" t="s">
        <v>45</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row>
    <row r="207" spans="1:66" x14ac:dyDescent="0.45">
      <c r="A207" s="28" t="s">
        <v>283</v>
      </c>
      <c r="B207" s="14" t="s">
        <v>40</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row>
    <row r="208" spans="1:66" x14ac:dyDescent="0.45">
      <c r="A208" s="29"/>
      <c r="B208" s="14" t="s">
        <v>41</v>
      </c>
      <c r="C208" s="8">
        <v>50</v>
      </c>
      <c r="D208" s="11" t="s">
        <v>101</v>
      </c>
      <c r="E208" s="16">
        <v>65</v>
      </c>
      <c r="F208" s="11" t="s">
        <v>102</v>
      </c>
      <c r="G208" s="8">
        <v>75</v>
      </c>
      <c r="H208" s="11" t="s">
        <v>103</v>
      </c>
      <c r="I208" s="18">
        <v>85</v>
      </c>
      <c r="J208" s="11" t="s">
        <v>103</v>
      </c>
      <c r="K208" s="11"/>
      <c r="L208" s="11"/>
      <c r="M208" s="11"/>
      <c r="N208" s="11"/>
      <c r="O208" s="11"/>
      <c r="P208" s="11"/>
      <c r="Q208" s="11"/>
      <c r="R208" s="11"/>
      <c r="S208" s="24">
        <v>90</v>
      </c>
      <c r="T208" s="11" t="s">
        <v>291</v>
      </c>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row>
    <row r="209" spans="1:58" x14ac:dyDescent="0.45">
      <c r="A209" s="29"/>
      <c r="B209" s="14" t="s">
        <v>42</v>
      </c>
      <c r="C209" s="8">
        <v>50</v>
      </c>
      <c r="D209" s="11" t="s">
        <v>105</v>
      </c>
      <c r="E209" s="8">
        <v>50</v>
      </c>
      <c r="F209" s="11" t="s">
        <v>106</v>
      </c>
      <c r="G209" s="8">
        <v>50</v>
      </c>
      <c r="H209" s="11" t="s">
        <v>107</v>
      </c>
      <c r="I209" s="16">
        <v>65</v>
      </c>
      <c r="J209" s="11" t="s">
        <v>157</v>
      </c>
      <c r="K209" s="11" t="s">
        <v>72</v>
      </c>
      <c r="L209" s="11"/>
      <c r="M209" s="18">
        <v>85</v>
      </c>
      <c r="N209" s="11" t="s">
        <v>103</v>
      </c>
      <c r="O209" s="11"/>
      <c r="P209" s="11"/>
      <c r="Q209" s="11"/>
      <c r="R209" s="11"/>
      <c r="S209" s="11">
        <v>75</v>
      </c>
      <c r="T209" s="11" t="s">
        <v>258</v>
      </c>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row>
    <row r="210" spans="1:58" x14ac:dyDescent="0.45">
      <c r="A210" s="29"/>
      <c r="B210" s="14" t="s">
        <v>43</v>
      </c>
      <c r="C210" s="8">
        <v>75</v>
      </c>
      <c r="D210" s="11" t="s">
        <v>71</v>
      </c>
      <c r="E210" s="8">
        <v>50</v>
      </c>
      <c r="F210" s="11" t="s">
        <v>124</v>
      </c>
      <c r="G210" s="8">
        <v>75</v>
      </c>
      <c r="H210" s="11" t="s">
        <v>142</v>
      </c>
      <c r="I210" s="8">
        <v>75</v>
      </c>
      <c r="J210" s="11" t="s">
        <v>140</v>
      </c>
      <c r="K210" s="11"/>
      <c r="L210" s="11"/>
      <c r="M210" s="16">
        <v>65</v>
      </c>
      <c r="N210" s="11" t="s">
        <v>157</v>
      </c>
      <c r="O210" s="11"/>
      <c r="P210" s="11"/>
      <c r="Q210" s="11"/>
      <c r="R210" s="11"/>
      <c r="S210" s="11">
        <v>75</v>
      </c>
      <c r="T210" s="11" t="s">
        <v>297</v>
      </c>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row>
    <row r="211" spans="1:58" x14ac:dyDescent="0.45">
      <c r="A211" s="29"/>
      <c r="B211" s="14" t="s">
        <v>44</v>
      </c>
      <c r="C211" s="8"/>
      <c r="D211" s="11" t="s">
        <v>99</v>
      </c>
      <c r="E211" s="8">
        <v>25</v>
      </c>
      <c r="F211" s="11" t="s">
        <v>91</v>
      </c>
      <c r="G211" s="8">
        <v>50</v>
      </c>
      <c r="H211" s="11" t="s">
        <v>118</v>
      </c>
      <c r="I211" s="8">
        <v>25</v>
      </c>
      <c r="J211" s="11" t="s">
        <v>170</v>
      </c>
      <c r="K211" s="11"/>
      <c r="L211" s="11"/>
      <c r="M211" s="11">
        <v>50</v>
      </c>
      <c r="N211" s="11" t="s">
        <v>202</v>
      </c>
      <c r="O211" s="11">
        <v>75</v>
      </c>
      <c r="P211" s="11" t="s">
        <v>215</v>
      </c>
      <c r="Q211" s="11"/>
      <c r="R211" s="11"/>
      <c r="S211" s="26">
        <v>85</v>
      </c>
      <c r="T211" s="11" t="s">
        <v>292</v>
      </c>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row>
    <row r="212" spans="1:58" x14ac:dyDescent="0.45">
      <c r="A212" s="30"/>
      <c r="B212" s="14" t="s">
        <v>45</v>
      </c>
      <c r="C212" s="11"/>
      <c r="D212" s="11"/>
      <c r="E212" s="11"/>
      <c r="F212" s="11"/>
      <c r="G212" s="11"/>
      <c r="H212" s="11"/>
      <c r="I212" s="11"/>
      <c r="J212" s="11"/>
      <c r="K212" s="11"/>
      <c r="L212" s="11"/>
      <c r="M212" s="11"/>
      <c r="N212" s="11"/>
      <c r="O212" s="11"/>
      <c r="P212" s="11"/>
      <c r="Q212" s="11">
        <v>25</v>
      </c>
      <c r="R212" s="11" t="s">
        <v>77</v>
      </c>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row>
    <row r="213" spans="1:58" x14ac:dyDescent="0.45">
      <c r="A213" s="28"/>
      <c r="B213" s="14" t="s">
        <v>40</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row>
    <row r="214" spans="1:58" x14ac:dyDescent="0.45">
      <c r="A214" s="29"/>
      <c r="B214" s="14" t="s">
        <v>41</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row>
    <row r="215" spans="1:58" x14ac:dyDescent="0.45">
      <c r="A215" s="29"/>
      <c r="B215" s="14" t="s">
        <v>42</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row>
    <row r="216" spans="1:58" x14ac:dyDescent="0.45">
      <c r="A216" s="29"/>
      <c r="B216" s="14" t="s">
        <v>43</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row>
    <row r="217" spans="1:58" x14ac:dyDescent="0.45">
      <c r="A217" s="29"/>
      <c r="B217" s="14" t="s">
        <v>44</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row>
    <row r="218" spans="1:58" x14ac:dyDescent="0.45">
      <c r="A218" s="30"/>
      <c r="B218" s="14" t="s">
        <v>45</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spans="1:58" x14ac:dyDescent="0.45">
      <c r="B219" s="15"/>
      <c r="C219" s="15"/>
      <c r="E219" s="8"/>
      <c r="G219" s="11"/>
      <c r="H219" s="11"/>
      <c r="I219" s="11"/>
    </row>
    <row r="220" spans="1:58" x14ac:dyDescent="0.45">
      <c r="B220" s="15"/>
      <c r="C220" s="15"/>
      <c r="E220" s="15"/>
      <c r="G220" s="11"/>
      <c r="H220" s="11"/>
      <c r="I220" s="11"/>
    </row>
    <row r="221" spans="1:58" x14ac:dyDescent="0.45">
      <c r="B221" s="15"/>
      <c r="C221" s="15"/>
      <c r="E221" s="15"/>
      <c r="K221" s="11"/>
    </row>
    <row r="222" spans="1:58" x14ac:dyDescent="0.45">
      <c r="B222" s="15"/>
      <c r="C222" s="15"/>
      <c r="E222" s="15"/>
    </row>
    <row r="223" spans="1:58" x14ac:dyDescent="0.45">
      <c r="B223" s="15"/>
      <c r="C223" s="15"/>
      <c r="E223" s="15"/>
    </row>
    <row r="224" spans="1:58" x14ac:dyDescent="0.45">
      <c r="B224" s="15"/>
      <c r="C224" s="15"/>
      <c r="E224" s="15"/>
    </row>
    <row r="225" spans="3:5" x14ac:dyDescent="0.45">
      <c r="C225" s="15"/>
      <c r="E225" s="15"/>
    </row>
    <row r="226" spans="3:5" x14ac:dyDescent="0.45">
      <c r="C226" s="15"/>
      <c r="E226" s="15"/>
    </row>
    <row r="227" spans="3:5" x14ac:dyDescent="0.45">
      <c r="C227" s="15"/>
      <c r="E227" s="15"/>
    </row>
    <row r="228" spans="3:5" x14ac:dyDescent="0.45">
      <c r="C228" s="15"/>
      <c r="E228" s="15"/>
    </row>
    <row r="229" spans="3:5" x14ac:dyDescent="0.45">
      <c r="C229" s="15"/>
      <c r="E229" s="15"/>
    </row>
    <row r="230" spans="3:5" x14ac:dyDescent="0.45">
      <c r="C230" s="15"/>
      <c r="E230" s="15"/>
    </row>
    <row r="231" spans="3:5" x14ac:dyDescent="0.45">
      <c r="C231" s="15"/>
    </row>
    <row r="232" spans="3:5" x14ac:dyDescent="0.45">
      <c r="C232" s="15"/>
    </row>
    <row r="233" spans="3:5" x14ac:dyDescent="0.45">
      <c r="C233" s="15"/>
    </row>
    <row r="234" spans="3:5" x14ac:dyDescent="0.45">
      <c r="C234" s="15"/>
    </row>
    <row r="235" spans="3:5" x14ac:dyDescent="0.45">
      <c r="C235" s="15"/>
    </row>
  </sheetData>
  <mergeCells count="70">
    <mergeCell ref="A201:A206"/>
    <mergeCell ref="A207:A212"/>
    <mergeCell ref="A213:A218"/>
    <mergeCell ref="A189:A194"/>
    <mergeCell ref="A123:A128"/>
    <mergeCell ref="A129:A134"/>
    <mergeCell ref="A135:A140"/>
    <mergeCell ref="A141:A146"/>
    <mergeCell ref="A147:A152"/>
    <mergeCell ref="A153:A158"/>
    <mergeCell ref="A159:A164"/>
    <mergeCell ref="A165:A170"/>
    <mergeCell ref="A171:A176"/>
    <mergeCell ref="A177:A182"/>
    <mergeCell ref="A183:A188"/>
    <mergeCell ref="A195:A200"/>
    <mergeCell ref="A27:A32"/>
    <mergeCell ref="A33:A38"/>
    <mergeCell ref="A39:A44"/>
    <mergeCell ref="A117:A122"/>
    <mergeCell ref="A51:A56"/>
    <mergeCell ref="A57:A62"/>
    <mergeCell ref="A63:A68"/>
    <mergeCell ref="A69:A74"/>
    <mergeCell ref="A75:A80"/>
    <mergeCell ref="A81:A86"/>
    <mergeCell ref="A87:A92"/>
    <mergeCell ref="A93:A98"/>
    <mergeCell ref="A99:A104"/>
    <mergeCell ref="A105:A110"/>
    <mergeCell ref="A111:A116"/>
    <mergeCell ref="A45:A50"/>
    <mergeCell ref="BK1:BL1"/>
    <mergeCell ref="BM1:BN1"/>
    <mergeCell ref="BO1:BP1"/>
    <mergeCell ref="BQ1:BR1"/>
    <mergeCell ref="A3:A8"/>
    <mergeCell ref="AY1:AZ1"/>
    <mergeCell ref="BA1:BB1"/>
    <mergeCell ref="BC1:BD1"/>
    <mergeCell ref="BE1:BF1"/>
    <mergeCell ref="BG1:BH1"/>
    <mergeCell ref="BI1:BJ1"/>
    <mergeCell ref="AM1:AN1"/>
    <mergeCell ref="AO1:AP1"/>
    <mergeCell ref="AQ1:AR1"/>
    <mergeCell ref="AS1:AT1"/>
    <mergeCell ref="AU1:AV1"/>
    <mergeCell ref="AW1:AX1"/>
    <mergeCell ref="AA1:AB1"/>
    <mergeCell ref="AC1:AD1"/>
    <mergeCell ref="AE1:AF1"/>
    <mergeCell ref="AG1:AH1"/>
    <mergeCell ref="AI1:AJ1"/>
    <mergeCell ref="AK1:AL1"/>
    <mergeCell ref="A21:A26"/>
    <mergeCell ref="A9:A14"/>
    <mergeCell ref="A15:A20"/>
    <mergeCell ref="Y1:Z1"/>
    <mergeCell ref="C1:D1"/>
    <mergeCell ref="E1:F1"/>
    <mergeCell ref="G1:H1"/>
    <mergeCell ref="I1:J1"/>
    <mergeCell ref="K1:L1"/>
    <mergeCell ref="M1:N1"/>
    <mergeCell ref="O1:P1"/>
    <mergeCell ref="Q1:R1"/>
    <mergeCell ref="S1:T1"/>
    <mergeCell ref="U1:V1"/>
    <mergeCell ref="W1:X1"/>
  </mergeCells>
  <conditionalFormatting sqref="C132">
    <cfRule type="containsText" dxfId="986" priority="1850" operator="containsText" text="50">
      <formula>NOT(ISERROR(SEARCH("50",C132)))</formula>
    </cfRule>
    <cfRule type="containsText" dxfId="985" priority="1851" operator="containsText" text="100">
      <formula>NOT(ISERROR(SEARCH("100",C132)))</formula>
    </cfRule>
    <cfRule type="containsText" dxfId="984" priority="1852" operator="containsText" text="75">
      <formula>NOT(ISERROR(SEARCH("75",C132)))</formula>
    </cfRule>
    <cfRule type="containsText" dxfId="983" priority="1849" operator="containsText" text="25">
      <formula>NOT(ISERROR(SEARCH("25",C132)))</formula>
    </cfRule>
  </conditionalFormatting>
  <conditionalFormatting sqref="C143">
    <cfRule type="containsText" dxfId="982" priority="2645" operator="containsText" text="25">
      <formula>NOT(ISERROR(SEARCH("25",C143)))</formula>
    </cfRule>
    <cfRule type="containsText" dxfId="981" priority="2646" operator="containsText" text="50">
      <formula>NOT(ISERROR(SEARCH("50",C143)))</formula>
    </cfRule>
    <cfRule type="containsText" dxfId="980" priority="2647" operator="containsText" text="100">
      <formula>NOT(ISERROR(SEARCH("100",C143)))</formula>
    </cfRule>
    <cfRule type="containsText" dxfId="979" priority="2648" operator="containsText" text="75">
      <formula>NOT(ISERROR(SEARCH("75",C143)))</formula>
    </cfRule>
  </conditionalFormatting>
  <conditionalFormatting sqref="C149:C150">
    <cfRule type="containsText" dxfId="978" priority="2641" operator="containsText" text="25">
      <formula>NOT(ISERROR(SEARCH("25",C149)))</formula>
    </cfRule>
    <cfRule type="containsText" dxfId="977" priority="2642" operator="containsText" text="50">
      <formula>NOT(ISERROR(SEARCH("50",C149)))</formula>
    </cfRule>
    <cfRule type="containsText" dxfId="976" priority="2643" operator="containsText" text="100">
      <formula>NOT(ISERROR(SEARCH("100",C149)))</formula>
    </cfRule>
    <cfRule type="containsText" dxfId="975" priority="2644" operator="containsText" text="75">
      <formula>NOT(ISERROR(SEARCH("75",C149)))</formula>
    </cfRule>
  </conditionalFormatting>
  <conditionalFormatting sqref="C155">
    <cfRule type="containsText" dxfId="974" priority="2638" operator="containsText" text="50">
      <formula>NOT(ISERROR(SEARCH("50",C155)))</formula>
    </cfRule>
    <cfRule type="containsText" dxfId="973" priority="2639" operator="containsText" text="100">
      <formula>NOT(ISERROR(SEARCH("100",C155)))</formula>
    </cfRule>
    <cfRule type="containsText" dxfId="972" priority="2637" operator="containsText" text="25">
      <formula>NOT(ISERROR(SEARCH("25",C155)))</formula>
    </cfRule>
    <cfRule type="containsText" dxfId="971" priority="2640" operator="containsText" text="75">
      <formula>NOT(ISERROR(SEARCH("75",C155)))</formula>
    </cfRule>
  </conditionalFormatting>
  <conditionalFormatting sqref="C161">
    <cfRule type="containsText" dxfId="970" priority="2636" operator="containsText" text="75">
      <formula>NOT(ISERROR(SEARCH("75",C161)))</formula>
    </cfRule>
    <cfRule type="containsText" dxfId="969" priority="2635" operator="containsText" text="100">
      <formula>NOT(ISERROR(SEARCH("100",C161)))</formula>
    </cfRule>
    <cfRule type="containsText" dxfId="968" priority="2633" operator="containsText" text="25">
      <formula>NOT(ISERROR(SEARCH("25",C161)))</formula>
    </cfRule>
    <cfRule type="containsText" dxfId="967" priority="2634" operator="containsText" text="50">
      <formula>NOT(ISERROR(SEARCH("50",C161)))</formula>
    </cfRule>
  </conditionalFormatting>
  <conditionalFormatting sqref="C167:C168">
    <cfRule type="containsText" dxfId="966" priority="2626" operator="containsText" text="50">
      <formula>NOT(ISERROR(SEARCH("50",C167)))</formula>
    </cfRule>
    <cfRule type="containsText" dxfId="965" priority="2625" operator="containsText" text="25">
      <formula>NOT(ISERROR(SEARCH("25",C167)))</formula>
    </cfRule>
    <cfRule type="containsText" dxfId="964" priority="2627" operator="containsText" text="100">
      <formula>NOT(ISERROR(SEARCH("100",C167)))</formula>
    </cfRule>
    <cfRule type="containsText" dxfId="963" priority="2628" operator="containsText" text="75">
      <formula>NOT(ISERROR(SEARCH("75",C167)))</formula>
    </cfRule>
  </conditionalFormatting>
  <conditionalFormatting sqref="C179:C180">
    <cfRule type="containsText" dxfId="962" priority="2618" operator="containsText" text="50">
      <formula>NOT(ISERROR(SEARCH("50",C179)))</formula>
    </cfRule>
    <cfRule type="containsText" dxfId="961" priority="2620" operator="containsText" text="75">
      <formula>NOT(ISERROR(SEARCH("75",C179)))</formula>
    </cfRule>
    <cfRule type="containsText" dxfId="960" priority="2619" operator="containsText" text="100">
      <formula>NOT(ISERROR(SEARCH("100",C179)))</formula>
    </cfRule>
    <cfRule type="containsText" dxfId="959" priority="2617" operator="containsText" text="25">
      <formula>NOT(ISERROR(SEARCH("25",C179)))</formula>
    </cfRule>
  </conditionalFormatting>
  <conditionalFormatting sqref="C185:C186">
    <cfRule type="containsText" dxfId="958" priority="2616" operator="containsText" text="75">
      <formula>NOT(ISERROR(SEARCH("75",C185)))</formula>
    </cfRule>
    <cfRule type="containsText" dxfId="957" priority="2615" operator="containsText" text="100">
      <formula>NOT(ISERROR(SEARCH("100",C185)))</formula>
    </cfRule>
    <cfRule type="containsText" dxfId="956" priority="2614" operator="containsText" text="50">
      <formula>NOT(ISERROR(SEARCH("50",C185)))</formula>
    </cfRule>
    <cfRule type="containsText" dxfId="955" priority="2613" operator="containsText" text="25">
      <formula>NOT(ISERROR(SEARCH("25",C185)))</formula>
    </cfRule>
  </conditionalFormatting>
  <conditionalFormatting sqref="C192">
    <cfRule type="containsText" dxfId="954" priority="1845" operator="containsText" text="25">
      <formula>NOT(ISERROR(SEARCH("25",C192)))</formula>
    </cfRule>
    <cfRule type="containsText" dxfId="953" priority="1846" operator="containsText" text="50">
      <formula>NOT(ISERROR(SEARCH("50",C192)))</formula>
    </cfRule>
    <cfRule type="containsText" dxfId="952" priority="1848" operator="containsText" text="75">
      <formula>NOT(ISERROR(SEARCH("75",C192)))</formula>
    </cfRule>
    <cfRule type="containsText" dxfId="951" priority="1847" operator="containsText" text="100">
      <formula>NOT(ISERROR(SEARCH("100",C192)))</formula>
    </cfRule>
  </conditionalFormatting>
  <conditionalFormatting sqref="C197:C198">
    <cfRule type="containsText" dxfId="950" priority="2607" operator="containsText" text="100">
      <formula>NOT(ISERROR(SEARCH("100",C197)))</formula>
    </cfRule>
    <cfRule type="containsText" dxfId="949" priority="2608" operator="containsText" text="75">
      <formula>NOT(ISERROR(SEARCH("75",C197)))</formula>
    </cfRule>
    <cfRule type="containsText" dxfId="948" priority="2606" operator="containsText" text="50">
      <formula>NOT(ISERROR(SEARCH("50",C197)))</formula>
    </cfRule>
    <cfRule type="containsText" dxfId="947" priority="2605" operator="containsText" text="25">
      <formula>NOT(ISERROR(SEARCH("25",C197)))</formula>
    </cfRule>
  </conditionalFormatting>
  <conditionalFormatting sqref="C203:C204">
    <cfRule type="containsText" dxfId="946" priority="253" operator="containsText" text="25">
      <formula>NOT(ISERROR(SEARCH("25",C203)))</formula>
    </cfRule>
    <cfRule type="containsText" dxfId="945" priority="254" operator="containsText" text="50">
      <formula>NOT(ISERROR(SEARCH("50",C203)))</formula>
    </cfRule>
    <cfRule type="containsText" dxfId="944" priority="255" operator="containsText" text="100">
      <formula>NOT(ISERROR(SEARCH("100",C203)))</formula>
    </cfRule>
    <cfRule type="containsText" dxfId="943" priority="256" operator="containsText" text="75">
      <formula>NOT(ISERROR(SEARCH("75",C203)))</formula>
    </cfRule>
  </conditionalFormatting>
  <conditionalFormatting sqref="C202:F202">
    <cfRule type="containsText" dxfId="942" priority="237" operator="containsText" text="25">
      <formula>NOT(ISERROR(SEARCH("25",C202)))</formula>
    </cfRule>
    <cfRule type="containsText" dxfId="941" priority="238" operator="containsText" text="50">
      <formula>NOT(ISERROR(SEARCH("50",C202)))</formula>
    </cfRule>
    <cfRule type="containsText" dxfId="940" priority="240" operator="containsText" text="75">
      <formula>NOT(ISERROR(SEARCH("75",C202)))</formula>
    </cfRule>
    <cfRule type="containsText" dxfId="939" priority="239" operator="containsText" text="100">
      <formula>NOT(ISERROR(SEARCH("100",C202)))</formula>
    </cfRule>
  </conditionalFormatting>
  <conditionalFormatting sqref="C84:G84">
    <cfRule type="containsText" dxfId="938" priority="1755" operator="containsText" text="100">
      <formula>NOT(ISERROR(SEARCH("100",C84)))</formula>
    </cfRule>
    <cfRule type="containsText" dxfId="937" priority="1753" operator="containsText" text="25">
      <formula>NOT(ISERROR(SEARCH("25",C84)))</formula>
    </cfRule>
    <cfRule type="containsText" dxfId="936" priority="1754" operator="containsText" text="50">
      <formula>NOT(ISERROR(SEARCH("50",C84)))</formula>
    </cfRule>
    <cfRule type="containsText" dxfId="935" priority="1756" operator="containsText" text="75">
      <formula>NOT(ISERROR(SEARCH("75",C84)))</formula>
    </cfRule>
  </conditionalFormatting>
  <conditionalFormatting sqref="C31:H32">
    <cfRule type="containsText" dxfId="934" priority="1533" operator="containsText" text="25">
      <formula>NOT(ISERROR(SEARCH("25",C31)))</formula>
    </cfRule>
    <cfRule type="containsText" dxfId="933" priority="1534" operator="containsText" text="50">
      <formula>NOT(ISERROR(SEARCH("50",C31)))</formula>
    </cfRule>
    <cfRule type="containsText" dxfId="932" priority="1535" operator="containsText" text="100">
      <formula>NOT(ISERROR(SEARCH("100",C31)))</formula>
    </cfRule>
    <cfRule type="containsText" dxfId="931" priority="1536" operator="containsText" text="75">
      <formula>NOT(ISERROR(SEARCH("75",C31)))</formula>
    </cfRule>
  </conditionalFormatting>
  <conditionalFormatting sqref="C136:H136">
    <cfRule type="containsText" dxfId="930" priority="2229" operator="containsText" text="25">
      <formula>NOT(ISERROR(SEARCH("25",C136)))</formula>
    </cfRule>
    <cfRule type="containsText" dxfId="929" priority="2230" operator="containsText" text="50">
      <formula>NOT(ISERROR(SEARCH("50",C136)))</formula>
    </cfRule>
    <cfRule type="containsText" dxfId="928" priority="2231" operator="containsText" text="100">
      <formula>NOT(ISERROR(SEARCH("100",C136)))</formula>
    </cfRule>
    <cfRule type="containsText" dxfId="927" priority="2232" operator="containsText" text="75">
      <formula>NOT(ISERROR(SEARCH("75",C136)))</formula>
    </cfRule>
  </conditionalFormatting>
  <conditionalFormatting sqref="C142:H142">
    <cfRule type="containsText" dxfId="926" priority="2225" operator="containsText" text="25">
      <formula>NOT(ISERROR(SEARCH("25",C142)))</formula>
    </cfRule>
    <cfRule type="containsText" dxfId="925" priority="2226" operator="containsText" text="50">
      <formula>NOT(ISERROR(SEARCH("50",C142)))</formula>
    </cfRule>
    <cfRule type="containsText" dxfId="924" priority="2227" operator="containsText" text="100">
      <formula>NOT(ISERROR(SEARCH("100",C142)))</formula>
    </cfRule>
    <cfRule type="containsText" dxfId="923" priority="2228" operator="containsText" text="75">
      <formula>NOT(ISERROR(SEARCH("75",C142)))</formula>
    </cfRule>
  </conditionalFormatting>
  <conditionalFormatting sqref="C148:H148">
    <cfRule type="containsText" dxfId="922" priority="2221" operator="containsText" text="25">
      <formula>NOT(ISERROR(SEARCH("25",C148)))</formula>
    </cfRule>
    <cfRule type="containsText" dxfId="921" priority="2223" operator="containsText" text="100">
      <formula>NOT(ISERROR(SEARCH("100",C148)))</formula>
    </cfRule>
    <cfRule type="containsText" dxfId="920" priority="2224" operator="containsText" text="75">
      <formula>NOT(ISERROR(SEARCH("75",C148)))</formula>
    </cfRule>
    <cfRule type="containsText" dxfId="919" priority="2222" operator="containsText" text="50">
      <formula>NOT(ISERROR(SEARCH("50",C148)))</formula>
    </cfRule>
  </conditionalFormatting>
  <conditionalFormatting sqref="C154:H154">
    <cfRule type="containsText" dxfId="918" priority="2220" operator="containsText" text="75">
      <formula>NOT(ISERROR(SEARCH("75",C154)))</formula>
    </cfRule>
    <cfRule type="containsText" dxfId="917" priority="2218" operator="containsText" text="50">
      <formula>NOT(ISERROR(SEARCH("50",C154)))</formula>
    </cfRule>
    <cfRule type="containsText" dxfId="916" priority="2219" operator="containsText" text="100">
      <formula>NOT(ISERROR(SEARCH("100",C154)))</formula>
    </cfRule>
    <cfRule type="containsText" dxfId="915" priority="2217" operator="containsText" text="25">
      <formula>NOT(ISERROR(SEARCH("25",C154)))</formula>
    </cfRule>
  </conditionalFormatting>
  <conditionalFormatting sqref="C160:H160">
    <cfRule type="containsText" dxfId="914" priority="2214" operator="containsText" text="50">
      <formula>NOT(ISERROR(SEARCH("50",C160)))</formula>
    </cfRule>
    <cfRule type="containsText" dxfId="913" priority="2215" operator="containsText" text="100">
      <formula>NOT(ISERROR(SEARCH("100",C160)))</formula>
    </cfRule>
    <cfRule type="containsText" dxfId="912" priority="2216" operator="containsText" text="75">
      <formula>NOT(ISERROR(SEARCH("75",C160)))</formula>
    </cfRule>
    <cfRule type="containsText" dxfId="911" priority="2213" operator="containsText" text="25">
      <formula>NOT(ISERROR(SEARCH("25",C160)))</formula>
    </cfRule>
  </conditionalFormatting>
  <conditionalFormatting sqref="C166:H166">
    <cfRule type="containsText" dxfId="910" priority="2209" operator="containsText" text="25">
      <formula>NOT(ISERROR(SEARCH("25",C166)))</formula>
    </cfRule>
    <cfRule type="containsText" dxfId="909" priority="2210" operator="containsText" text="50">
      <formula>NOT(ISERROR(SEARCH("50",C166)))</formula>
    </cfRule>
    <cfRule type="containsText" dxfId="908" priority="2211" operator="containsText" text="100">
      <formula>NOT(ISERROR(SEARCH("100",C166)))</formula>
    </cfRule>
    <cfRule type="containsText" dxfId="907" priority="2212" operator="containsText" text="75">
      <formula>NOT(ISERROR(SEARCH("75",C166)))</formula>
    </cfRule>
  </conditionalFormatting>
  <conditionalFormatting sqref="C178:H178">
    <cfRule type="containsText" dxfId="906" priority="2201" operator="containsText" text="25">
      <formula>NOT(ISERROR(SEARCH("25",C178)))</formula>
    </cfRule>
    <cfRule type="containsText" dxfId="905" priority="2202" operator="containsText" text="50">
      <formula>NOT(ISERROR(SEARCH("50",C178)))</formula>
    </cfRule>
    <cfRule type="containsText" dxfId="904" priority="2203" operator="containsText" text="100">
      <formula>NOT(ISERROR(SEARCH("100",C178)))</formula>
    </cfRule>
    <cfRule type="containsText" dxfId="903" priority="2204" operator="containsText" text="75">
      <formula>NOT(ISERROR(SEARCH("75",C178)))</formula>
    </cfRule>
  </conditionalFormatting>
  <conditionalFormatting sqref="C184:H184">
    <cfRule type="containsText" dxfId="902" priority="2197" operator="containsText" text="25">
      <formula>NOT(ISERROR(SEARCH("25",C184)))</formula>
    </cfRule>
    <cfRule type="containsText" dxfId="901" priority="2198" operator="containsText" text="50">
      <formula>NOT(ISERROR(SEARCH("50",C184)))</formula>
    </cfRule>
    <cfRule type="containsText" dxfId="900" priority="2199" operator="containsText" text="100">
      <formula>NOT(ISERROR(SEARCH("100",C184)))</formula>
    </cfRule>
    <cfRule type="containsText" dxfId="899" priority="2200" operator="containsText" text="75">
      <formula>NOT(ISERROR(SEARCH("75",C184)))</formula>
    </cfRule>
  </conditionalFormatting>
  <conditionalFormatting sqref="C196:H196">
    <cfRule type="containsText" dxfId="898" priority="2191" operator="containsText" text="100">
      <formula>NOT(ISERROR(SEARCH("100",C196)))</formula>
    </cfRule>
    <cfRule type="containsText" dxfId="897" priority="2190" operator="containsText" text="50">
      <formula>NOT(ISERROR(SEARCH("50",C196)))</formula>
    </cfRule>
    <cfRule type="containsText" dxfId="896" priority="2189" operator="containsText" text="25">
      <formula>NOT(ISERROR(SEARCH("25",C196)))</formula>
    </cfRule>
    <cfRule type="containsText" dxfId="895" priority="2192" operator="containsText" text="75">
      <formula>NOT(ISERROR(SEARCH("75",C196)))</formula>
    </cfRule>
  </conditionalFormatting>
  <conditionalFormatting sqref="C67:I67">
    <cfRule type="containsText" dxfId="894" priority="1365" operator="containsText" text="25">
      <formula>NOT(ISERROR(SEARCH("25",C67)))</formula>
    </cfRule>
    <cfRule type="containsText" dxfId="893" priority="1366" operator="containsText" text="50">
      <formula>NOT(ISERROR(SEARCH("50",C67)))</formula>
    </cfRule>
    <cfRule type="containsText" dxfId="892" priority="1368" operator="containsText" text="75">
      <formula>NOT(ISERROR(SEARCH("75",C67)))</formula>
    </cfRule>
    <cfRule type="containsText" dxfId="891" priority="1367" operator="containsText" text="100">
      <formula>NOT(ISERROR(SEARCH("100",C67)))</formula>
    </cfRule>
  </conditionalFormatting>
  <conditionalFormatting sqref="C85:I85">
    <cfRule type="containsText" dxfId="890" priority="1359" operator="containsText" text="100">
      <formula>NOT(ISERROR(SEARCH("100",C85)))</formula>
    </cfRule>
    <cfRule type="containsText" dxfId="889" priority="1357" operator="containsText" text="25">
      <formula>NOT(ISERROR(SEARCH("25",C85)))</formula>
    </cfRule>
    <cfRule type="containsText" dxfId="888" priority="1358" operator="containsText" text="50">
      <formula>NOT(ISERROR(SEARCH("50",C85)))</formula>
    </cfRule>
    <cfRule type="containsText" dxfId="887" priority="1360" operator="containsText" text="75">
      <formula>NOT(ISERROR(SEARCH("75",C85)))</formula>
    </cfRule>
  </conditionalFormatting>
  <conditionalFormatting sqref="C109:I109">
    <cfRule type="containsText" dxfId="886" priority="1345" operator="containsText" text="25">
      <formula>NOT(ISERROR(SEARCH("25",C109)))</formula>
    </cfRule>
    <cfRule type="containsText" dxfId="885" priority="1346" operator="containsText" text="50">
      <formula>NOT(ISERROR(SEARCH("50",C109)))</formula>
    </cfRule>
    <cfRule type="containsText" dxfId="884" priority="1347" operator="containsText" text="100">
      <formula>NOT(ISERROR(SEARCH("100",C109)))</formula>
    </cfRule>
    <cfRule type="containsText" dxfId="883" priority="1348" operator="containsText" text="75">
      <formula>NOT(ISERROR(SEARCH("75",C109)))</formula>
    </cfRule>
  </conditionalFormatting>
  <conditionalFormatting sqref="C114:I115">
    <cfRule type="containsText" dxfId="882" priority="1344" operator="containsText" text="75">
      <formula>NOT(ISERROR(SEARCH("75",C114)))</formula>
    </cfRule>
    <cfRule type="containsText" dxfId="881" priority="1343" operator="containsText" text="100">
      <formula>NOT(ISERROR(SEARCH("100",C114)))</formula>
    </cfRule>
    <cfRule type="containsText" dxfId="880" priority="1342" operator="containsText" text="50">
      <formula>NOT(ISERROR(SEARCH("50",C114)))</formula>
    </cfRule>
    <cfRule type="containsText" dxfId="879" priority="1341" operator="containsText" text="25">
      <formula>NOT(ISERROR(SEARCH("25",C114)))</formula>
    </cfRule>
  </conditionalFormatting>
  <conditionalFormatting sqref="C10:J12 C13:I13 C14:G14 I14:BF14 H84:H85 C137:C138">
    <cfRule type="containsText" dxfId="878" priority="2652" operator="containsText" text="75">
      <formula>NOT(ISERROR(SEARCH("75",C10)))</formula>
    </cfRule>
    <cfRule type="containsText" dxfId="877" priority="2650" operator="containsText" text="50">
      <formula>NOT(ISERROR(SEARCH("50",C10)))</formula>
    </cfRule>
    <cfRule type="containsText" dxfId="876" priority="2651" operator="containsText" text="100">
      <formula>NOT(ISERROR(SEARCH("100",C10)))</formula>
    </cfRule>
  </conditionalFormatting>
  <conditionalFormatting sqref="C64:J66">
    <cfRule type="containsText" dxfId="875" priority="1276" operator="containsText" text="75">
      <formula>NOT(ISERROR(SEARCH("75",C64)))</formula>
    </cfRule>
    <cfRule type="containsText" dxfId="874" priority="1275" operator="containsText" text="100">
      <formula>NOT(ISERROR(SEARCH("100",C64)))</formula>
    </cfRule>
    <cfRule type="containsText" dxfId="873" priority="1274" operator="containsText" text="50">
      <formula>NOT(ISERROR(SEARCH("50",C64)))</formula>
    </cfRule>
    <cfRule type="containsText" dxfId="872" priority="1273" operator="containsText" text="25">
      <formula>NOT(ISERROR(SEARCH("25",C64)))</formula>
    </cfRule>
  </conditionalFormatting>
  <conditionalFormatting sqref="C106:J108">
    <cfRule type="containsText" dxfId="871" priority="1352" operator="containsText" text="75">
      <formula>NOT(ISERROR(SEARCH("75",C106)))</formula>
    </cfRule>
    <cfRule type="containsText" dxfId="870" priority="1351" operator="containsText" text="100">
      <formula>NOT(ISERROR(SEARCH("100",C106)))</formula>
    </cfRule>
    <cfRule type="containsText" dxfId="869" priority="1350" operator="containsText" text="50">
      <formula>NOT(ISERROR(SEARCH("50",C106)))</formula>
    </cfRule>
    <cfRule type="containsText" dxfId="868" priority="1349" operator="containsText" text="25">
      <formula>NOT(ISERROR(SEARCH("25",C106)))</formula>
    </cfRule>
  </conditionalFormatting>
  <conditionalFormatting sqref="C130:J131">
    <cfRule type="containsText" dxfId="867" priority="1585" operator="containsText" text="25">
      <formula>NOT(ISERROR(SEARCH("25",C130)))</formula>
    </cfRule>
    <cfRule type="containsText" dxfId="866" priority="1586" operator="containsText" text="50">
      <formula>NOT(ISERROR(SEARCH("50",C130)))</formula>
    </cfRule>
    <cfRule type="containsText" dxfId="865" priority="1587" operator="containsText" text="100">
      <formula>NOT(ISERROR(SEARCH("100",C130)))</formula>
    </cfRule>
    <cfRule type="containsText" dxfId="864" priority="1588" operator="containsText" text="75">
      <formula>NOT(ISERROR(SEARCH("75",C130)))</formula>
    </cfRule>
  </conditionalFormatting>
  <conditionalFormatting sqref="C172:J173">
    <cfRule type="containsText" dxfId="863" priority="1559" operator="containsText" text="100">
      <formula>NOT(ISERROR(SEARCH("100",C172)))</formula>
    </cfRule>
    <cfRule type="containsText" dxfId="862" priority="1557" operator="containsText" text="25">
      <formula>NOT(ISERROR(SEARCH("25",C172)))</formula>
    </cfRule>
    <cfRule type="containsText" dxfId="861" priority="1560" operator="containsText" text="75">
      <formula>NOT(ISERROR(SEARCH("75",C172)))</formula>
    </cfRule>
    <cfRule type="containsText" dxfId="860" priority="1558" operator="containsText" text="50">
      <formula>NOT(ISERROR(SEARCH("50",C172)))</formula>
    </cfRule>
  </conditionalFormatting>
  <conditionalFormatting sqref="C208:J211">
    <cfRule type="containsText" dxfId="859" priority="185" operator="containsText" text="25">
      <formula>NOT(ISERROR(SEARCH("25",C208)))</formula>
    </cfRule>
    <cfRule type="containsText" dxfId="858" priority="186" operator="containsText" text="50">
      <formula>NOT(ISERROR(SEARCH("50",C208)))</formula>
    </cfRule>
    <cfRule type="containsText" dxfId="857" priority="187" operator="containsText" text="100">
      <formula>NOT(ISERROR(SEARCH("100",C208)))</formula>
    </cfRule>
    <cfRule type="containsText" dxfId="856" priority="188" operator="containsText" text="75">
      <formula>NOT(ISERROR(SEARCH("75",C208)))</formula>
    </cfRule>
  </conditionalFormatting>
  <conditionalFormatting sqref="C28:K30">
    <cfRule type="containsText" dxfId="855" priority="633" operator="containsText" text="25">
      <formula>NOT(ISERROR(SEARCH("25",C28)))</formula>
    </cfRule>
    <cfRule type="containsText" dxfId="854" priority="634" operator="containsText" text="50">
      <formula>NOT(ISERROR(SEARCH("50",C28)))</formula>
    </cfRule>
    <cfRule type="containsText" dxfId="853" priority="635" operator="containsText" text="100">
      <formula>NOT(ISERROR(SEARCH("100",C28)))</formula>
    </cfRule>
    <cfRule type="containsText" dxfId="852" priority="636" operator="containsText" text="75">
      <formula>NOT(ISERROR(SEARCH("75",C28)))</formula>
    </cfRule>
  </conditionalFormatting>
  <conditionalFormatting sqref="C118:K119">
    <cfRule type="containsText" dxfId="851" priority="901" operator="containsText" text="25">
      <formula>NOT(ISERROR(SEARCH("25",C118)))</formula>
    </cfRule>
    <cfRule type="containsText" dxfId="850" priority="904" operator="containsText" text="75">
      <formula>NOT(ISERROR(SEARCH("75",C118)))</formula>
    </cfRule>
    <cfRule type="containsText" dxfId="849" priority="903" operator="containsText" text="100">
      <formula>NOT(ISERROR(SEARCH("100",C118)))</formula>
    </cfRule>
    <cfRule type="containsText" dxfId="848" priority="902" operator="containsText" text="50">
      <formula>NOT(ISERROR(SEARCH("50",C118)))</formula>
    </cfRule>
  </conditionalFormatting>
  <conditionalFormatting sqref="C124:K125">
    <cfRule type="containsText" dxfId="847" priority="889" operator="containsText" text="25">
      <formula>NOT(ISERROR(SEARCH("25",C124)))</formula>
    </cfRule>
    <cfRule type="containsText" dxfId="846" priority="890" operator="containsText" text="50">
      <formula>NOT(ISERROR(SEARCH("50",C124)))</formula>
    </cfRule>
    <cfRule type="containsText" dxfId="845" priority="891" operator="containsText" text="100">
      <formula>NOT(ISERROR(SEARCH("100",C124)))</formula>
    </cfRule>
    <cfRule type="containsText" dxfId="844" priority="892" operator="containsText" text="75">
      <formula>NOT(ISERROR(SEARCH("75",C124)))</formula>
    </cfRule>
  </conditionalFormatting>
  <conditionalFormatting sqref="C190:K191">
    <cfRule type="containsText" dxfId="843" priority="781" operator="containsText" text="25">
      <formula>NOT(ISERROR(SEARCH("25",C190)))</formula>
    </cfRule>
    <cfRule type="containsText" dxfId="842" priority="782" operator="containsText" text="50">
      <formula>NOT(ISERROR(SEARCH("50",C190)))</formula>
    </cfRule>
    <cfRule type="containsText" dxfId="841" priority="784" operator="containsText" text="75">
      <formula>NOT(ISERROR(SEARCH("75",C190)))</formula>
    </cfRule>
    <cfRule type="containsText" dxfId="840" priority="783" operator="containsText" text="100">
      <formula>NOT(ISERROR(SEARCH("100",C190)))</formula>
    </cfRule>
  </conditionalFormatting>
  <conditionalFormatting sqref="C86:BE86">
    <cfRule type="containsText" dxfId="839" priority="1284" operator="containsText" text="75">
      <formula>NOT(ISERROR(SEARCH("75",C86)))</formula>
    </cfRule>
    <cfRule type="containsText" dxfId="838" priority="1283" operator="containsText" text="100">
      <formula>NOT(ISERROR(SEARCH("100",C86)))</formula>
    </cfRule>
    <cfRule type="containsText" dxfId="837" priority="1281" operator="containsText" text="25">
      <formula>NOT(ISERROR(SEARCH("25",C86)))</formula>
    </cfRule>
    <cfRule type="containsText" dxfId="836" priority="1282" operator="containsText" text="50">
      <formula>NOT(ISERROR(SEARCH("50",C86)))</formula>
    </cfRule>
  </conditionalFormatting>
  <conditionalFormatting sqref="C4:BF9">
    <cfRule type="containsText" dxfId="835" priority="605" operator="containsText" text="25">
      <formula>NOT(ISERROR(SEARCH("25",C4)))</formula>
    </cfRule>
    <cfRule type="containsText" dxfId="834" priority="606" operator="containsText" text="50">
      <formula>NOT(ISERROR(SEARCH("50",C4)))</formula>
    </cfRule>
    <cfRule type="containsText" dxfId="833" priority="607" operator="containsText" text="100">
      <formula>NOT(ISERROR(SEARCH("100",C4)))</formula>
    </cfRule>
    <cfRule type="containsText" dxfId="832" priority="608" operator="containsText" text="75">
      <formula>NOT(ISERROR(SEARCH("75",C4)))</formula>
    </cfRule>
  </conditionalFormatting>
  <conditionalFormatting sqref="C15:BF15 C20:BF27 C16:R19 T16:BF19">
    <cfRule type="containsText" dxfId="831" priority="470" operator="containsText" text="50">
      <formula>NOT(ISERROR(SEARCH("50",C15)))</formula>
    </cfRule>
    <cfRule type="containsText" dxfId="830" priority="469" operator="containsText" text="25">
      <formula>NOT(ISERROR(SEARCH("25",C15)))</formula>
    </cfRule>
    <cfRule type="containsText" dxfId="829" priority="472" operator="containsText" text="75">
      <formula>NOT(ISERROR(SEARCH("75",C15)))</formula>
    </cfRule>
    <cfRule type="containsText" dxfId="828" priority="471" operator="containsText" text="100">
      <formula>NOT(ISERROR(SEARCH("100",C15)))</formula>
    </cfRule>
  </conditionalFormatting>
  <conditionalFormatting sqref="C33:BF33 C34:R37 T34:BF37 C38:BF63">
    <cfRule type="containsText" dxfId="827" priority="314" operator="containsText" text="50">
      <formula>NOT(ISERROR(SEARCH("50",C33)))</formula>
    </cfRule>
    <cfRule type="containsText" dxfId="826" priority="315" operator="containsText" text="100">
      <formula>NOT(ISERROR(SEARCH("100",C33)))</formula>
    </cfRule>
    <cfRule type="containsText" dxfId="825" priority="316" operator="containsText" text="75">
      <formula>NOT(ISERROR(SEARCH("75",C33)))</formula>
    </cfRule>
    <cfRule type="containsText" dxfId="824" priority="313" operator="containsText" text="25">
      <formula>NOT(ISERROR(SEARCH("25",C33)))</formula>
    </cfRule>
  </conditionalFormatting>
  <conditionalFormatting sqref="C68:BF69 C74:BF75 C70:R73 T70:BF73 C80:BF83 C76:R79 T76:BF79">
    <cfRule type="containsText" dxfId="823" priority="293" operator="containsText" text="25">
      <formula>NOT(ISERROR(SEARCH("25",C68)))</formula>
    </cfRule>
    <cfRule type="containsText" dxfId="822" priority="294" operator="containsText" text="50">
      <formula>NOT(ISERROR(SEARCH("50",C68)))</formula>
    </cfRule>
    <cfRule type="containsText" dxfId="821" priority="295" operator="containsText" text="100">
      <formula>NOT(ISERROR(SEARCH("100",C68)))</formula>
    </cfRule>
    <cfRule type="containsText" dxfId="820" priority="296" operator="containsText" text="75">
      <formula>NOT(ISERROR(SEARCH("75",C68)))</formula>
    </cfRule>
  </conditionalFormatting>
  <conditionalFormatting sqref="C87:BF89 C92:BF97 C90:R91 T90:BF91">
    <cfRule type="containsText" dxfId="819" priority="300" operator="containsText" text="75">
      <formula>NOT(ISERROR(SEARCH("75",C87)))</formula>
    </cfRule>
    <cfRule type="containsText" dxfId="818" priority="297" operator="containsText" text="25">
      <formula>NOT(ISERROR(SEARCH("25",C87)))</formula>
    </cfRule>
    <cfRule type="containsText" dxfId="817" priority="298" operator="containsText" text="50">
      <formula>NOT(ISERROR(SEARCH("50",C87)))</formula>
    </cfRule>
    <cfRule type="containsText" dxfId="816" priority="299" operator="containsText" text="100">
      <formula>NOT(ISERROR(SEARCH("100",C87)))</formula>
    </cfRule>
  </conditionalFormatting>
  <conditionalFormatting sqref="C105:BF105 C100:R104 T100:BF104">
    <cfRule type="containsText" dxfId="815" priority="417" operator="containsText" text="25">
      <formula>NOT(ISERROR(SEARCH("25",C100)))</formula>
    </cfRule>
    <cfRule type="containsText" dxfId="814" priority="419" operator="containsText" text="100">
      <formula>NOT(ISERROR(SEARCH("100",C100)))</formula>
    </cfRule>
    <cfRule type="containsText" dxfId="813" priority="418" operator="containsText" text="50">
      <formula>NOT(ISERROR(SEARCH("50",C100)))</formula>
    </cfRule>
    <cfRule type="containsText" dxfId="812" priority="420" operator="containsText" text="75">
      <formula>NOT(ISERROR(SEARCH("75",C100)))</formula>
    </cfRule>
  </conditionalFormatting>
  <conditionalFormatting sqref="C110:BF111 C112:R113 T112:BF113">
    <cfRule type="containsText" dxfId="811" priority="409" operator="containsText" text="25">
      <formula>NOT(ISERROR(SEARCH("25",C110)))</formula>
    </cfRule>
    <cfRule type="containsText" dxfId="810" priority="412" operator="containsText" text="75">
      <formula>NOT(ISERROR(SEARCH("75",C110)))</formula>
    </cfRule>
    <cfRule type="containsText" dxfId="809" priority="411" operator="containsText" text="100">
      <formula>NOT(ISERROR(SEARCH("100",C110)))</formula>
    </cfRule>
    <cfRule type="containsText" dxfId="808" priority="410" operator="containsText" text="50">
      <formula>NOT(ISERROR(SEARCH("50",C110)))</formula>
    </cfRule>
  </conditionalFormatting>
  <conditionalFormatting sqref="C3:BJ3 BL3:BR3 C98:BG99 BI98:BO99 BH100:BN115 BI116:BN116 BH116:BH198">
    <cfRule type="containsText" dxfId="807" priority="3391" operator="containsText" text="100">
      <formula>NOT(ISERROR(SEARCH("100",C3)))</formula>
    </cfRule>
    <cfRule type="containsText" dxfId="806" priority="3392" operator="containsText" text="75">
      <formula>NOT(ISERROR(SEARCH("75",C3)))</formula>
    </cfRule>
    <cfRule type="containsText" dxfId="805" priority="3389" operator="containsText" text="25">
      <formula>NOT(ISERROR(SEARCH("25",C3)))</formula>
    </cfRule>
    <cfRule type="containsText" dxfId="804" priority="3390" operator="containsText" text="50">
      <formula>NOT(ISERROR(SEARCH("50",C3)))</formula>
    </cfRule>
  </conditionalFormatting>
  <conditionalFormatting sqref="D121">
    <cfRule type="containsText" dxfId="803" priority="3074" operator="containsText" text="50">
      <formula>NOT(ISERROR(SEARCH("50",D121)))</formula>
    </cfRule>
    <cfRule type="containsText" dxfId="802" priority="3073" operator="containsText" text="25">
      <formula>NOT(ISERROR(SEARCH("25",D121)))</formula>
    </cfRule>
    <cfRule type="containsText" dxfId="801" priority="3075" operator="containsText" text="100">
      <formula>NOT(ISERROR(SEARCH("100",D121)))</formula>
    </cfRule>
    <cfRule type="containsText" dxfId="800" priority="3076" operator="containsText" text="75">
      <formula>NOT(ISERROR(SEARCH("75",D121)))</formula>
    </cfRule>
  </conditionalFormatting>
  <conditionalFormatting sqref="D143:D145">
    <cfRule type="containsText" dxfId="799" priority="2714" operator="containsText" text="50">
      <formula>NOT(ISERROR(SEARCH("50",D143)))</formula>
    </cfRule>
    <cfRule type="containsText" dxfId="798" priority="2713" operator="containsText" text="25">
      <formula>NOT(ISERROR(SEARCH("25",D143)))</formula>
    </cfRule>
    <cfRule type="containsText" dxfId="797" priority="2716" operator="containsText" text="75">
      <formula>NOT(ISERROR(SEARCH("75",D143)))</formula>
    </cfRule>
    <cfRule type="containsText" dxfId="796" priority="2715" operator="containsText" text="100">
      <formula>NOT(ISERROR(SEARCH("100",D143)))</formula>
    </cfRule>
  </conditionalFormatting>
  <conditionalFormatting sqref="D155:D157">
    <cfRule type="containsText" dxfId="795" priority="2708" operator="containsText" text="75">
      <formula>NOT(ISERROR(SEARCH("75",D155)))</formula>
    </cfRule>
    <cfRule type="containsText" dxfId="794" priority="2707" operator="containsText" text="100">
      <formula>NOT(ISERROR(SEARCH("100",D155)))</formula>
    </cfRule>
    <cfRule type="containsText" dxfId="793" priority="2706" operator="containsText" text="50">
      <formula>NOT(ISERROR(SEARCH("50",D155)))</formula>
    </cfRule>
    <cfRule type="containsText" dxfId="792" priority="2705" operator="containsText" text="25">
      <formula>NOT(ISERROR(SEARCH("25",D155)))</formula>
    </cfRule>
  </conditionalFormatting>
  <conditionalFormatting sqref="D161:D163">
    <cfRule type="containsText" dxfId="791" priority="2704" operator="containsText" text="75">
      <formula>NOT(ISERROR(SEARCH("75",D161)))</formula>
    </cfRule>
    <cfRule type="containsText" dxfId="790" priority="2703" operator="containsText" text="100">
      <formula>NOT(ISERROR(SEARCH("100",D161)))</formula>
    </cfRule>
    <cfRule type="containsText" dxfId="789" priority="2702" operator="containsText" text="50">
      <formula>NOT(ISERROR(SEARCH("50",D161)))</formula>
    </cfRule>
    <cfRule type="containsText" dxfId="788" priority="2701" operator="containsText" text="25">
      <formula>NOT(ISERROR(SEARCH("25",D161)))</formula>
    </cfRule>
  </conditionalFormatting>
  <conditionalFormatting sqref="D169">
    <cfRule type="containsText" dxfId="787" priority="3044" operator="containsText" text="75">
      <formula>NOT(ISERROR(SEARCH("75",D169)))</formula>
    </cfRule>
    <cfRule type="containsText" dxfId="786" priority="3043" operator="containsText" text="100">
      <formula>NOT(ISERROR(SEARCH("100",D169)))</formula>
    </cfRule>
    <cfRule type="containsText" dxfId="785" priority="3042" operator="containsText" text="50">
      <formula>NOT(ISERROR(SEARCH("50",D169)))</formula>
    </cfRule>
    <cfRule type="containsText" dxfId="784" priority="3041" operator="containsText" text="25">
      <formula>NOT(ISERROR(SEARCH("25",D169)))</formula>
    </cfRule>
  </conditionalFormatting>
  <conditionalFormatting sqref="D185">
    <cfRule type="containsText" dxfId="783" priority="2688" operator="containsText" text="75">
      <formula>NOT(ISERROR(SEARCH("75",D185)))</formula>
    </cfRule>
    <cfRule type="containsText" dxfId="782" priority="2687" operator="containsText" text="100">
      <formula>NOT(ISERROR(SEARCH("100",D185)))</formula>
    </cfRule>
    <cfRule type="containsText" dxfId="781" priority="2686" operator="containsText" text="50">
      <formula>NOT(ISERROR(SEARCH("50",D185)))</formula>
    </cfRule>
    <cfRule type="containsText" dxfId="780" priority="2685" operator="containsText" text="25">
      <formula>NOT(ISERROR(SEARCH("25",D185)))</formula>
    </cfRule>
  </conditionalFormatting>
  <conditionalFormatting sqref="D187">
    <cfRule type="containsText" dxfId="779" priority="3032" operator="containsText" text="75">
      <formula>NOT(ISERROR(SEARCH("75",D187)))</formula>
    </cfRule>
    <cfRule type="containsText" dxfId="778" priority="3029" operator="containsText" text="25">
      <formula>NOT(ISERROR(SEARCH("25",D187)))</formula>
    </cfRule>
    <cfRule type="containsText" dxfId="777" priority="3030" operator="containsText" text="50">
      <formula>NOT(ISERROR(SEARCH("50",D187)))</formula>
    </cfRule>
    <cfRule type="containsText" dxfId="776" priority="3031" operator="containsText" text="100">
      <formula>NOT(ISERROR(SEARCH("100",D187)))</formula>
    </cfRule>
  </conditionalFormatting>
  <conditionalFormatting sqref="D193">
    <cfRule type="containsText" dxfId="775" priority="3027" operator="containsText" text="100">
      <formula>NOT(ISERROR(SEARCH("100",D193)))</formula>
    </cfRule>
    <cfRule type="containsText" dxfId="774" priority="3025" operator="containsText" text="25">
      <formula>NOT(ISERROR(SEARCH("25",D193)))</formula>
    </cfRule>
    <cfRule type="containsText" dxfId="773" priority="3026" operator="containsText" text="50">
      <formula>NOT(ISERROR(SEARCH("50",D193)))</formula>
    </cfRule>
    <cfRule type="containsText" dxfId="772" priority="3028" operator="containsText" text="75">
      <formula>NOT(ISERROR(SEARCH("75",D193)))</formula>
    </cfRule>
  </conditionalFormatting>
  <conditionalFormatting sqref="D203">
    <cfRule type="containsText" dxfId="771" priority="247" operator="containsText" text="100">
      <formula>NOT(ISERROR(SEARCH("100",D203)))</formula>
    </cfRule>
    <cfRule type="containsText" dxfId="770" priority="245" operator="containsText" text="25">
      <formula>NOT(ISERROR(SEARCH("25",D203)))</formula>
    </cfRule>
    <cfRule type="containsText" dxfId="769" priority="248" operator="containsText" text="75">
      <formula>NOT(ISERROR(SEARCH("75",D203)))</formula>
    </cfRule>
    <cfRule type="containsText" dxfId="768" priority="246" operator="containsText" text="50">
      <formula>NOT(ISERROR(SEARCH("50",D203)))</formula>
    </cfRule>
  </conditionalFormatting>
  <conditionalFormatting sqref="D205">
    <cfRule type="containsText" dxfId="767" priority="260" operator="containsText" text="75">
      <formula>NOT(ISERROR(SEARCH("75",D205)))</formula>
    </cfRule>
    <cfRule type="containsText" dxfId="766" priority="259" operator="containsText" text="100">
      <formula>NOT(ISERROR(SEARCH("100",D205)))</formula>
    </cfRule>
    <cfRule type="containsText" dxfId="765" priority="257" operator="containsText" text="25">
      <formula>NOT(ISERROR(SEARCH("25",D205)))</formula>
    </cfRule>
    <cfRule type="containsText" dxfId="764" priority="258" operator="containsText" text="50">
      <formula>NOT(ISERROR(SEARCH("50",D205)))</formula>
    </cfRule>
  </conditionalFormatting>
  <conditionalFormatting sqref="D151:E151">
    <cfRule type="containsText" dxfId="763" priority="1925" operator="containsText" text="25">
      <formula>NOT(ISERROR(SEARCH("25",D151)))</formula>
    </cfRule>
    <cfRule type="containsText" dxfId="762" priority="1928" operator="containsText" text="75">
      <formula>NOT(ISERROR(SEARCH("75",D151)))</formula>
    </cfRule>
    <cfRule type="containsText" dxfId="761" priority="1927" operator="containsText" text="100">
      <formula>NOT(ISERROR(SEARCH("100",D151)))</formula>
    </cfRule>
    <cfRule type="containsText" dxfId="760" priority="1926" operator="containsText" text="50">
      <formula>NOT(ISERROR(SEARCH("50",D151)))</formula>
    </cfRule>
  </conditionalFormatting>
  <conditionalFormatting sqref="D175:E175">
    <cfRule type="containsText" dxfId="759" priority="3040" operator="containsText" text="75">
      <formula>NOT(ISERROR(SEARCH("75",D175)))</formula>
    </cfRule>
    <cfRule type="containsText" dxfId="758" priority="3037" operator="containsText" text="25">
      <formula>NOT(ISERROR(SEARCH("25",D175)))</formula>
    </cfRule>
    <cfRule type="containsText" dxfId="757" priority="3038" operator="containsText" text="50">
      <formula>NOT(ISERROR(SEARCH("50",D175)))</formula>
    </cfRule>
    <cfRule type="containsText" dxfId="756" priority="3039" operator="containsText" text="100">
      <formula>NOT(ISERROR(SEARCH("100",D175)))</formula>
    </cfRule>
  </conditionalFormatting>
  <conditionalFormatting sqref="D181:E181">
    <cfRule type="containsText" dxfId="755" priority="3036" operator="containsText" text="75">
      <formula>NOT(ISERROR(SEARCH("75",D181)))</formula>
    </cfRule>
    <cfRule type="containsText" dxfId="754" priority="3035" operator="containsText" text="100">
      <formula>NOT(ISERROR(SEARCH("100",D181)))</formula>
    </cfRule>
    <cfRule type="containsText" dxfId="753" priority="3034" operator="containsText" text="50">
      <formula>NOT(ISERROR(SEARCH("50",D181)))</formula>
    </cfRule>
    <cfRule type="containsText" dxfId="752" priority="3033" operator="containsText" text="25">
      <formula>NOT(ISERROR(SEARCH("25",D181)))</formula>
    </cfRule>
  </conditionalFormatting>
  <conditionalFormatting sqref="D199:E199">
    <cfRule type="containsText" dxfId="751" priority="3021" operator="containsText" text="25">
      <formula>NOT(ISERROR(SEARCH("25",D199)))</formula>
    </cfRule>
    <cfRule type="containsText" dxfId="750" priority="3024" operator="containsText" text="75">
      <formula>NOT(ISERROR(SEARCH("75",D199)))</formula>
    </cfRule>
    <cfRule type="containsText" dxfId="749" priority="3023" operator="containsText" text="100">
      <formula>NOT(ISERROR(SEARCH("100",D199)))</formula>
    </cfRule>
    <cfRule type="containsText" dxfId="748" priority="3022" operator="containsText" text="50">
      <formula>NOT(ISERROR(SEARCH("50",D199)))</formula>
    </cfRule>
  </conditionalFormatting>
  <conditionalFormatting sqref="D127:G127">
    <cfRule type="containsText" dxfId="747" priority="2000" operator="containsText" text="75">
      <formula>NOT(ISERROR(SEARCH("75",D127)))</formula>
    </cfRule>
    <cfRule type="containsText" dxfId="746" priority="1999" operator="containsText" text="100">
      <formula>NOT(ISERROR(SEARCH("100",D127)))</formula>
    </cfRule>
    <cfRule type="containsText" dxfId="745" priority="1998" operator="containsText" text="50">
      <formula>NOT(ISERROR(SEARCH("50",D127)))</formula>
    </cfRule>
    <cfRule type="containsText" dxfId="744" priority="1997" operator="containsText" text="25">
      <formula>NOT(ISERROR(SEARCH("25",D127)))</formula>
    </cfRule>
  </conditionalFormatting>
  <conditionalFormatting sqref="D133:G133">
    <cfRule type="containsText" dxfId="743" priority="1993" operator="containsText" text="25">
      <formula>NOT(ISERROR(SEARCH("25",D133)))</formula>
    </cfRule>
    <cfRule type="containsText" dxfId="742" priority="1995" operator="containsText" text="100">
      <formula>NOT(ISERROR(SEARCH("100",D133)))</formula>
    </cfRule>
    <cfRule type="containsText" dxfId="741" priority="1994" operator="containsText" text="50">
      <formula>NOT(ISERROR(SEARCH("50",D133)))</formula>
    </cfRule>
    <cfRule type="containsText" dxfId="740" priority="1996" operator="containsText" text="75">
      <formula>NOT(ISERROR(SEARCH("75",D133)))</formula>
    </cfRule>
  </conditionalFormatting>
  <conditionalFormatting sqref="D139:G139">
    <cfRule type="containsText" dxfId="739" priority="1992" operator="containsText" text="75">
      <formula>NOT(ISERROR(SEARCH("75",D139)))</formula>
    </cfRule>
    <cfRule type="containsText" dxfId="738" priority="1991" operator="containsText" text="100">
      <formula>NOT(ISERROR(SEARCH("100",D139)))</formula>
    </cfRule>
    <cfRule type="containsText" dxfId="737" priority="1990" operator="containsText" text="50">
      <formula>NOT(ISERROR(SEARCH("50",D139)))</formula>
    </cfRule>
    <cfRule type="containsText" dxfId="736" priority="1989" operator="containsText" text="25">
      <formula>NOT(ISERROR(SEARCH("25",D139)))</formula>
    </cfRule>
  </conditionalFormatting>
  <conditionalFormatting sqref="D137:H137">
    <cfRule type="containsText" dxfId="735" priority="2096" operator="containsText" text="75">
      <formula>NOT(ISERROR(SEARCH("75",D137)))</formula>
    </cfRule>
    <cfRule type="containsText" dxfId="734" priority="2095" operator="containsText" text="100">
      <formula>NOT(ISERROR(SEARCH("100",D137)))</formula>
    </cfRule>
    <cfRule type="containsText" dxfId="733" priority="2094" operator="containsText" text="50">
      <formula>NOT(ISERROR(SEARCH("50",D137)))</formula>
    </cfRule>
    <cfRule type="containsText" dxfId="732" priority="2093" operator="containsText" text="25">
      <formula>NOT(ISERROR(SEARCH("25",D137)))</formula>
    </cfRule>
  </conditionalFormatting>
  <conditionalFormatting sqref="D149:H149">
    <cfRule type="containsText" dxfId="731" priority="2086" operator="containsText" text="50">
      <formula>NOT(ISERROR(SEARCH("50",D149)))</formula>
    </cfRule>
    <cfRule type="containsText" dxfId="730" priority="2087" operator="containsText" text="100">
      <formula>NOT(ISERROR(SEARCH("100",D149)))</formula>
    </cfRule>
    <cfRule type="containsText" dxfId="729" priority="2088" operator="containsText" text="75">
      <formula>NOT(ISERROR(SEARCH("75",D149)))</formula>
    </cfRule>
    <cfRule type="containsText" dxfId="728" priority="2085" operator="containsText" text="25">
      <formula>NOT(ISERROR(SEARCH("25",D149)))</formula>
    </cfRule>
  </conditionalFormatting>
  <conditionalFormatting sqref="D167:H167">
    <cfRule type="containsText" dxfId="727" priority="2075" operator="containsText" text="100">
      <formula>NOT(ISERROR(SEARCH("100",D167)))</formula>
    </cfRule>
    <cfRule type="containsText" dxfId="726" priority="2074" operator="containsText" text="50">
      <formula>NOT(ISERROR(SEARCH("50",D167)))</formula>
    </cfRule>
    <cfRule type="containsText" dxfId="725" priority="2073" operator="containsText" text="25">
      <formula>NOT(ISERROR(SEARCH("25",D167)))</formula>
    </cfRule>
    <cfRule type="containsText" dxfId="724" priority="2076" operator="containsText" text="75">
      <formula>NOT(ISERROR(SEARCH("75",D167)))</formula>
    </cfRule>
  </conditionalFormatting>
  <conditionalFormatting sqref="D179:H179">
    <cfRule type="containsText" dxfId="723" priority="2068" operator="containsText" text="75">
      <formula>NOT(ISERROR(SEARCH("75",D179)))</formula>
    </cfRule>
    <cfRule type="containsText" dxfId="722" priority="2067" operator="containsText" text="100">
      <formula>NOT(ISERROR(SEARCH("100",D179)))</formula>
    </cfRule>
    <cfRule type="containsText" dxfId="721" priority="2065" operator="containsText" text="25">
      <formula>NOT(ISERROR(SEARCH("25",D179)))</formula>
    </cfRule>
    <cfRule type="containsText" dxfId="720" priority="2066" operator="containsText" text="50">
      <formula>NOT(ISERROR(SEARCH("50",D179)))</formula>
    </cfRule>
  </conditionalFormatting>
  <conditionalFormatting sqref="D197:H197">
    <cfRule type="containsText" dxfId="719" priority="2056" operator="containsText" text="75">
      <formula>NOT(ISERROR(SEARCH("75",D197)))</formula>
    </cfRule>
    <cfRule type="containsText" dxfId="718" priority="2055" operator="containsText" text="100">
      <formula>NOT(ISERROR(SEARCH("100",D197)))</formula>
    </cfRule>
    <cfRule type="containsText" dxfId="717" priority="2054" operator="containsText" text="50">
      <formula>NOT(ISERROR(SEARCH("50",D197)))</formula>
    </cfRule>
    <cfRule type="containsText" dxfId="716" priority="2053" operator="containsText" text="25">
      <formula>NOT(ISERROR(SEARCH("25",D197)))</formula>
    </cfRule>
  </conditionalFormatting>
  <conditionalFormatting sqref="E120">
    <cfRule type="containsText" dxfId="715" priority="1934" operator="containsText" text="50">
      <formula>NOT(ISERROR(SEARCH("50",E120)))</formula>
    </cfRule>
    <cfRule type="containsText" dxfId="714" priority="1933" operator="containsText" text="25">
      <formula>NOT(ISERROR(SEARCH("25",E120)))</formula>
    </cfRule>
    <cfRule type="containsText" dxfId="713" priority="1935" operator="containsText" text="100">
      <formula>NOT(ISERROR(SEARCH("100",E120)))</formula>
    </cfRule>
    <cfRule type="containsText" dxfId="712" priority="1936" operator="containsText" text="75">
      <formula>NOT(ISERROR(SEARCH("75",E120)))</formula>
    </cfRule>
  </conditionalFormatting>
  <conditionalFormatting sqref="E126">
    <cfRule type="containsText" dxfId="711" priority="1866" operator="containsText" text="50">
      <formula>NOT(ISERROR(SEARCH("50",E126)))</formula>
    </cfRule>
    <cfRule type="containsText" dxfId="710" priority="1865" operator="containsText" text="25">
      <formula>NOT(ISERROR(SEARCH("25",E126)))</formula>
    </cfRule>
    <cfRule type="containsText" dxfId="709" priority="1867" operator="containsText" text="100">
      <formula>NOT(ISERROR(SEARCH("100",E126)))</formula>
    </cfRule>
    <cfRule type="containsText" dxfId="708" priority="1868" operator="containsText" text="75">
      <formula>NOT(ISERROR(SEARCH("75",E126)))</formula>
    </cfRule>
  </conditionalFormatting>
  <conditionalFormatting sqref="E132">
    <cfRule type="containsText" dxfId="707" priority="1871" operator="containsText" text="100">
      <formula>NOT(ISERROR(SEARCH("100",E132)))</formula>
    </cfRule>
    <cfRule type="containsText" dxfId="706" priority="1869" operator="containsText" text="25">
      <formula>NOT(ISERROR(SEARCH("25",E132)))</formula>
    </cfRule>
    <cfRule type="containsText" dxfId="705" priority="1870" operator="containsText" text="50">
      <formula>NOT(ISERROR(SEARCH("50",E132)))</formula>
    </cfRule>
    <cfRule type="containsText" dxfId="704" priority="1872" operator="containsText" text="75">
      <formula>NOT(ISERROR(SEARCH("75",E132)))</formula>
    </cfRule>
  </conditionalFormatting>
  <conditionalFormatting sqref="E138">
    <cfRule type="containsText" dxfId="703" priority="1879" operator="containsText" text="100">
      <formula>NOT(ISERROR(SEARCH("100",E138)))</formula>
    </cfRule>
    <cfRule type="containsText" dxfId="702" priority="1880" operator="containsText" text="75">
      <formula>NOT(ISERROR(SEARCH("75",E138)))</formula>
    </cfRule>
    <cfRule type="containsText" dxfId="701" priority="1878" operator="containsText" text="50">
      <formula>NOT(ISERROR(SEARCH("50",E138)))</formula>
    </cfRule>
    <cfRule type="containsText" dxfId="700" priority="1877" operator="containsText" text="25">
      <formula>NOT(ISERROR(SEARCH("25",E138)))</formula>
    </cfRule>
  </conditionalFormatting>
  <conditionalFormatting sqref="E144:E145">
    <cfRule type="containsText" dxfId="699" priority="1873" operator="containsText" text="25">
      <formula>NOT(ISERROR(SEARCH("25",E144)))</formula>
    </cfRule>
    <cfRule type="containsText" dxfId="698" priority="1874" operator="containsText" text="50">
      <formula>NOT(ISERROR(SEARCH("50",E144)))</formula>
    </cfRule>
    <cfRule type="containsText" dxfId="697" priority="1875" operator="containsText" text="100">
      <formula>NOT(ISERROR(SEARCH("100",E144)))</formula>
    </cfRule>
    <cfRule type="containsText" dxfId="696" priority="1876" operator="containsText" text="75">
      <formula>NOT(ISERROR(SEARCH("75",E144)))</formula>
    </cfRule>
  </conditionalFormatting>
  <conditionalFormatting sqref="E156">
    <cfRule type="containsText" dxfId="695" priority="1922" operator="containsText" text="50">
      <formula>NOT(ISERROR(SEARCH("50",E156)))</formula>
    </cfRule>
    <cfRule type="containsText" dxfId="694" priority="1923" operator="containsText" text="100">
      <formula>NOT(ISERROR(SEARCH("100",E156)))</formula>
    </cfRule>
    <cfRule type="containsText" dxfId="693" priority="1924" operator="containsText" text="75">
      <formula>NOT(ISERROR(SEARCH("75",E156)))</formula>
    </cfRule>
    <cfRule type="containsText" dxfId="692" priority="1921" operator="containsText" text="25">
      <formula>NOT(ISERROR(SEARCH("25",E156)))</formula>
    </cfRule>
  </conditionalFormatting>
  <conditionalFormatting sqref="E162:E163">
    <cfRule type="containsText" dxfId="691" priority="1881" operator="containsText" text="25">
      <formula>NOT(ISERROR(SEARCH("25",E162)))</formula>
    </cfRule>
    <cfRule type="containsText" dxfId="690" priority="1882" operator="containsText" text="50">
      <formula>NOT(ISERROR(SEARCH("50",E162)))</formula>
    </cfRule>
    <cfRule type="containsText" dxfId="689" priority="1884" operator="containsText" text="75">
      <formula>NOT(ISERROR(SEARCH("75",E162)))</formula>
    </cfRule>
    <cfRule type="containsText" dxfId="688" priority="1883" operator="containsText" text="100">
      <formula>NOT(ISERROR(SEARCH("100",E162)))</formula>
    </cfRule>
  </conditionalFormatting>
  <conditionalFormatting sqref="E168">
    <cfRule type="containsText" dxfId="687" priority="1918" operator="containsText" text="50">
      <formula>NOT(ISERROR(SEARCH("50",E168)))</formula>
    </cfRule>
    <cfRule type="containsText" dxfId="686" priority="1917" operator="containsText" text="25">
      <formula>NOT(ISERROR(SEARCH("25",E168)))</formula>
    </cfRule>
    <cfRule type="containsText" dxfId="685" priority="1919" operator="containsText" text="100">
      <formula>NOT(ISERROR(SEARCH("100",E168)))</formula>
    </cfRule>
    <cfRule type="containsText" dxfId="684" priority="1920" operator="containsText" text="75">
      <formula>NOT(ISERROR(SEARCH("75",E168)))</formula>
    </cfRule>
  </conditionalFormatting>
  <conditionalFormatting sqref="E174">
    <cfRule type="containsText" dxfId="683" priority="1916" operator="containsText" text="75">
      <formula>NOT(ISERROR(SEARCH("75",E174)))</formula>
    </cfRule>
    <cfRule type="containsText" dxfId="682" priority="1913" operator="containsText" text="25">
      <formula>NOT(ISERROR(SEARCH("25",E174)))</formula>
    </cfRule>
    <cfRule type="containsText" dxfId="681" priority="1914" operator="containsText" text="50">
      <formula>NOT(ISERROR(SEARCH("50",E174)))</formula>
    </cfRule>
    <cfRule type="containsText" dxfId="680" priority="1915" operator="containsText" text="100">
      <formula>NOT(ISERROR(SEARCH("100",E174)))</formula>
    </cfRule>
  </conditionalFormatting>
  <conditionalFormatting sqref="E180">
    <cfRule type="containsText" dxfId="679" priority="1912" operator="containsText" text="75">
      <formula>NOT(ISERROR(SEARCH("75",E180)))</formula>
    </cfRule>
    <cfRule type="containsText" dxfId="678" priority="1910" operator="containsText" text="50">
      <formula>NOT(ISERROR(SEARCH("50",E180)))</formula>
    </cfRule>
    <cfRule type="containsText" dxfId="677" priority="1909" operator="containsText" text="25">
      <formula>NOT(ISERROR(SEARCH("25",E180)))</formula>
    </cfRule>
    <cfRule type="containsText" dxfId="676" priority="1911" operator="containsText" text="100">
      <formula>NOT(ISERROR(SEARCH("100",E180)))</formula>
    </cfRule>
  </conditionalFormatting>
  <conditionalFormatting sqref="E185:E187">
    <cfRule type="containsText" dxfId="675" priority="1887" operator="containsText" text="100">
      <formula>NOT(ISERROR(SEARCH("100",E185)))</formula>
    </cfRule>
    <cfRule type="containsText" dxfId="674" priority="1886" operator="containsText" text="50">
      <formula>NOT(ISERROR(SEARCH("50",E185)))</formula>
    </cfRule>
    <cfRule type="containsText" dxfId="673" priority="1885" operator="containsText" text="25">
      <formula>NOT(ISERROR(SEARCH("25",E185)))</formula>
    </cfRule>
    <cfRule type="containsText" dxfId="672" priority="1888" operator="containsText" text="75">
      <formula>NOT(ISERROR(SEARCH("75",E185)))</formula>
    </cfRule>
  </conditionalFormatting>
  <conditionalFormatting sqref="E192">
    <cfRule type="containsText" dxfId="671" priority="1889" operator="containsText" text="25">
      <formula>NOT(ISERROR(SEARCH("25",E192)))</formula>
    </cfRule>
    <cfRule type="containsText" dxfId="670" priority="1892" operator="containsText" text="75">
      <formula>NOT(ISERROR(SEARCH("75",E192)))</formula>
    </cfRule>
    <cfRule type="containsText" dxfId="669" priority="1890" operator="containsText" text="50">
      <formula>NOT(ISERROR(SEARCH("50",E192)))</formula>
    </cfRule>
    <cfRule type="containsText" dxfId="668" priority="1891" operator="containsText" text="100">
      <formula>NOT(ISERROR(SEARCH("100",E192)))</formula>
    </cfRule>
  </conditionalFormatting>
  <conditionalFormatting sqref="E198">
    <cfRule type="containsText" dxfId="667" priority="1894" operator="containsText" text="50">
      <formula>NOT(ISERROR(SEARCH("50",E198)))</formula>
    </cfRule>
    <cfRule type="containsText" dxfId="666" priority="1896" operator="containsText" text="75">
      <formula>NOT(ISERROR(SEARCH("75",E198)))</formula>
    </cfRule>
    <cfRule type="containsText" dxfId="665" priority="1895" operator="containsText" text="100">
      <formula>NOT(ISERROR(SEARCH("100",E198)))</formula>
    </cfRule>
    <cfRule type="containsText" dxfId="664" priority="1893" operator="containsText" text="25">
      <formula>NOT(ISERROR(SEARCH("25",E198)))</formula>
    </cfRule>
  </conditionalFormatting>
  <conditionalFormatting sqref="E203:E205">
    <cfRule type="containsText" dxfId="663" priority="229" operator="containsText" text="25">
      <formula>NOT(ISERROR(SEARCH("25",E203)))</formula>
    </cfRule>
    <cfRule type="containsText" dxfId="662" priority="231" operator="containsText" text="100">
      <formula>NOT(ISERROR(SEARCH("100",E203)))</formula>
    </cfRule>
    <cfRule type="containsText" dxfId="661" priority="232" operator="containsText" text="75">
      <formula>NOT(ISERROR(SEARCH("75",E203)))</formula>
    </cfRule>
    <cfRule type="containsText" dxfId="660" priority="230" operator="containsText" text="50">
      <formula>NOT(ISERROR(SEARCH("50",E203)))</formula>
    </cfRule>
  </conditionalFormatting>
  <conditionalFormatting sqref="E150:F150">
    <cfRule type="containsText" dxfId="659" priority="3125" operator="containsText" text="25">
      <formula>NOT(ISERROR(SEARCH("25",E150)))</formula>
    </cfRule>
    <cfRule type="containsText" dxfId="658" priority="3128" operator="containsText" text="75">
      <formula>NOT(ISERROR(SEARCH("75",E150)))</formula>
    </cfRule>
    <cfRule type="containsText" dxfId="657" priority="3127" operator="containsText" text="100">
      <formula>NOT(ISERROR(SEARCH("100",E150)))</formula>
    </cfRule>
    <cfRule type="containsText" dxfId="656" priority="3126" operator="containsText" text="50">
      <formula>NOT(ISERROR(SEARCH("50",E150)))</formula>
    </cfRule>
  </conditionalFormatting>
  <conditionalFormatting sqref="E157:G157">
    <cfRule type="containsText" dxfId="655" priority="1980" operator="containsText" text="75">
      <formula>NOT(ISERROR(SEARCH("75",E157)))</formula>
    </cfRule>
    <cfRule type="containsText" dxfId="654" priority="1978" operator="containsText" text="50">
      <formula>NOT(ISERROR(SEARCH("50",E157)))</formula>
    </cfRule>
    <cfRule type="containsText" dxfId="653" priority="1977" operator="containsText" text="25">
      <formula>NOT(ISERROR(SEARCH("25",E157)))</formula>
    </cfRule>
    <cfRule type="containsText" dxfId="652" priority="1979" operator="containsText" text="100">
      <formula>NOT(ISERROR(SEARCH("100",E157)))</formula>
    </cfRule>
  </conditionalFormatting>
  <conditionalFormatting sqref="E143:H143">
    <cfRule type="containsText" dxfId="651" priority="2089" operator="containsText" text="25">
      <formula>NOT(ISERROR(SEARCH("25",E143)))</formula>
    </cfRule>
    <cfRule type="containsText" dxfId="650" priority="2090" operator="containsText" text="50">
      <formula>NOT(ISERROR(SEARCH("50",E143)))</formula>
    </cfRule>
    <cfRule type="containsText" dxfId="649" priority="2091" operator="containsText" text="100">
      <formula>NOT(ISERROR(SEARCH("100",E143)))</formula>
    </cfRule>
    <cfRule type="containsText" dxfId="648" priority="2092" operator="containsText" text="75">
      <formula>NOT(ISERROR(SEARCH("75",E143)))</formula>
    </cfRule>
  </conditionalFormatting>
  <conditionalFormatting sqref="E155:H155">
    <cfRule type="containsText" dxfId="647" priority="2081" operator="containsText" text="25">
      <formula>NOT(ISERROR(SEARCH("25",E155)))</formula>
    </cfRule>
    <cfRule type="containsText" dxfId="646" priority="2082" operator="containsText" text="50">
      <formula>NOT(ISERROR(SEARCH("50",E155)))</formula>
    </cfRule>
    <cfRule type="containsText" dxfId="645" priority="2084" operator="containsText" text="75">
      <formula>NOT(ISERROR(SEARCH("75",E155)))</formula>
    </cfRule>
    <cfRule type="containsText" dxfId="644" priority="2083" operator="containsText" text="100">
      <formula>NOT(ISERROR(SEARCH("100",E155)))</formula>
    </cfRule>
  </conditionalFormatting>
  <conditionalFormatting sqref="E161:H161">
    <cfRule type="containsText" dxfId="643" priority="2077" operator="containsText" text="25">
      <formula>NOT(ISERROR(SEARCH("25",E161)))</formula>
    </cfRule>
    <cfRule type="containsText" dxfId="642" priority="2080" operator="containsText" text="75">
      <formula>NOT(ISERROR(SEARCH("75",E161)))</formula>
    </cfRule>
    <cfRule type="containsText" dxfId="641" priority="2079" operator="containsText" text="100">
      <formula>NOT(ISERROR(SEARCH("100",E161)))</formula>
    </cfRule>
    <cfRule type="containsText" dxfId="640" priority="2078" operator="containsText" text="50">
      <formula>NOT(ISERROR(SEARCH("50",E161)))</formula>
    </cfRule>
  </conditionalFormatting>
  <conditionalFormatting sqref="F203">
    <cfRule type="containsText" dxfId="639" priority="236" operator="containsText" text="75">
      <formula>NOT(ISERROR(SEARCH("75",F203)))</formula>
    </cfRule>
    <cfRule type="containsText" dxfId="638" priority="235" operator="containsText" text="100">
      <formula>NOT(ISERROR(SEARCH("100",F203)))</formula>
    </cfRule>
    <cfRule type="containsText" dxfId="637" priority="234" operator="containsText" text="50">
      <formula>NOT(ISERROR(SEARCH("50",F203)))</formula>
    </cfRule>
    <cfRule type="containsText" dxfId="636" priority="233" operator="containsText" text="25">
      <formula>NOT(ISERROR(SEARCH("25",F203)))</formula>
    </cfRule>
  </conditionalFormatting>
  <conditionalFormatting sqref="F185:H185">
    <cfRule type="containsText" dxfId="635" priority="2064" operator="containsText" text="75">
      <formula>NOT(ISERROR(SEARCH("75",F185)))</formula>
    </cfRule>
    <cfRule type="containsText" dxfId="634" priority="2063" operator="containsText" text="100">
      <formula>NOT(ISERROR(SEARCH("100",F185)))</formula>
    </cfRule>
    <cfRule type="containsText" dxfId="633" priority="2062" operator="containsText" text="50">
      <formula>NOT(ISERROR(SEARCH("50",F185)))</formula>
    </cfRule>
    <cfRule type="containsText" dxfId="632" priority="2061" operator="containsText" text="25">
      <formula>NOT(ISERROR(SEARCH("25",F185)))</formula>
    </cfRule>
  </conditionalFormatting>
  <conditionalFormatting sqref="G120:G121">
    <cfRule type="containsText" dxfId="631" priority="1826" operator="containsText" text="50">
      <formula>NOT(ISERROR(SEARCH("50",G120)))</formula>
    </cfRule>
    <cfRule type="containsText" dxfId="630" priority="1827" operator="containsText" text="100">
      <formula>NOT(ISERROR(SEARCH("100",G120)))</formula>
    </cfRule>
    <cfRule type="containsText" dxfId="629" priority="1828" operator="containsText" text="75">
      <formula>NOT(ISERROR(SEARCH("75",G120)))</formula>
    </cfRule>
    <cfRule type="containsText" dxfId="628" priority="1825" operator="containsText" text="25">
      <formula>NOT(ISERROR(SEARCH("25",G120)))</formula>
    </cfRule>
  </conditionalFormatting>
  <conditionalFormatting sqref="G132">
    <cfRule type="containsText" dxfId="627" priority="1819" operator="containsText" text="100">
      <formula>NOT(ISERROR(SEARCH("100",G132)))</formula>
    </cfRule>
    <cfRule type="containsText" dxfId="626" priority="1820" operator="containsText" text="75">
      <formula>NOT(ISERROR(SEARCH("75",G132)))</formula>
    </cfRule>
    <cfRule type="containsText" dxfId="625" priority="1818" operator="containsText" text="50">
      <formula>NOT(ISERROR(SEARCH("50",G132)))</formula>
    </cfRule>
    <cfRule type="containsText" dxfId="624" priority="1817" operator="containsText" text="25">
      <formula>NOT(ISERROR(SEARCH("25",G132)))</formula>
    </cfRule>
  </conditionalFormatting>
  <conditionalFormatting sqref="G138">
    <cfRule type="containsText" dxfId="623" priority="1816" operator="containsText" text="75">
      <formula>NOT(ISERROR(SEARCH("75",G138)))</formula>
    </cfRule>
    <cfRule type="containsText" dxfId="622" priority="1813" operator="containsText" text="25">
      <formula>NOT(ISERROR(SEARCH("25",G138)))</formula>
    </cfRule>
    <cfRule type="containsText" dxfId="621" priority="1814" operator="containsText" text="50">
      <formula>NOT(ISERROR(SEARCH("50",G138)))</formula>
    </cfRule>
    <cfRule type="containsText" dxfId="620" priority="1815" operator="containsText" text="100">
      <formula>NOT(ISERROR(SEARCH("100",G138)))</formula>
    </cfRule>
  </conditionalFormatting>
  <conditionalFormatting sqref="G144:G145">
    <cfRule type="containsText" dxfId="619" priority="1812" operator="containsText" text="75">
      <formula>NOT(ISERROR(SEARCH("75",G144)))</formula>
    </cfRule>
    <cfRule type="containsText" dxfId="618" priority="1809" operator="containsText" text="25">
      <formula>NOT(ISERROR(SEARCH("25",G144)))</formula>
    </cfRule>
    <cfRule type="containsText" dxfId="617" priority="1811" operator="containsText" text="100">
      <formula>NOT(ISERROR(SEARCH("100",G144)))</formula>
    </cfRule>
    <cfRule type="containsText" dxfId="616" priority="1810" operator="containsText" text="50">
      <formula>NOT(ISERROR(SEARCH("50",G144)))</formula>
    </cfRule>
  </conditionalFormatting>
  <conditionalFormatting sqref="G150:G151">
    <cfRule type="containsText" dxfId="615" priority="1808" operator="containsText" text="75">
      <formula>NOT(ISERROR(SEARCH("75",G150)))</formula>
    </cfRule>
    <cfRule type="containsText" dxfId="614" priority="1807" operator="containsText" text="100">
      <formula>NOT(ISERROR(SEARCH("100",G150)))</formula>
    </cfRule>
    <cfRule type="containsText" dxfId="613" priority="1806" operator="containsText" text="50">
      <formula>NOT(ISERROR(SEARCH("50",G150)))</formula>
    </cfRule>
    <cfRule type="containsText" dxfId="612" priority="1805" operator="containsText" text="25">
      <formula>NOT(ISERROR(SEARCH("25",G150)))</formula>
    </cfRule>
  </conditionalFormatting>
  <conditionalFormatting sqref="G156">
    <cfRule type="containsText" dxfId="611" priority="1803" operator="containsText" text="100">
      <formula>NOT(ISERROR(SEARCH("100",G156)))</formula>
    </cfRule>
    <cfRule type="containsText" dxfId="610" priority="1804" operator="containsText" text="75">
      <formula>NOT(ISERROR(SEARCH("75",G156)))</formula>
    </cfRule>
    <cfRule type="containsText" dxfId="609" priority="1802" operator="containsText" text="50">
      <formula>NOT(ISERROR(SEARCH("50",G156)))</formula>
    </cfRule>
    <cfRule type="containsText" dxfId="608" priority="1801" operator="containsText" text="25">
      <formula>NOT(ISERROR(SEARCH("25",G156)))</formula>
    </cfRule>
  </conditionalFormatting>
  <conditionalFormatting sqref="G162:G163">
    <cfRule type="containsText" dxfId="607" priority="1797" operator="containsText" text="25">
      <formula>NOT(ISERROR(SEARCH("25",G162)))</formula>
    </cfRule>
    <cfRule type="containsText" dxfId="606" priority="1798" operator="containsText" text="50">
      <formula>NOT(ISERROR(SEARCH("50",G162)))</formula>
    </cfRule>
    <cfRule type="containsText" dxfId="605" priority="1799" operator="containsText" text="100">
      <formula>NOT(ISERROR(SEARCH("100",G162)))</formula>
    </cfRule>
    <cfRule type="containsText" dxfId="604" priority="1800" operator="containsText" text="75">
      <formula>NOT(ISERROR(SEARCH("75",G162)))</formula>
    </cfRule>
  </conditionalFormatting>
  <conditionalFormatting sqref="G168:G169">
    <cfRule type="containsText" dxfId="603" priority="1793" operator="containsText" text="25">
      <formula>NOT(ISERROR(SEARCH("25",G168)))</formula>
    </cfRule>
    <cfRule type="containsText" dxfId="602" priority="1794" operator="containsText" text="50">
      <formula>NOT(ISERROR(SEARCH("50",G168)))</formula>
    </cfRule>
    <cfRule type="containsText" dxfId="601" priority="1795" operator="containsText" text="100">
      <formula>NOT(ISERROR(SEARCH("100",G168)))</formula>
    </cfRule>
    <cfRule type="containsText" dxfId="600" priority="1796" operator="containsText" text="75">
      <formula>NOT(ISERROR(SEARCH("75",G168)))</formula>
    </cfRule>
  </conditionalFormatting>
  <conditionalFormatting sqref="G174:G175">
    <cfRule type="containsText" dxfId="599" priority="1792" operator="containsText" text="75">
      <formula>NOT(ISERROR(SEARCH("75",G174)))</formula>
    </cfRule>
    <cfRule type="containsText" dxfId="598" priority="1791" operator="containsText" text="100">
      <formula>NOT(ISERROR(SEARCH("100",G174)))</formula>
    </cfRule>
    <cfRule type="containsText" dxfId="597" priority="1790" operator="containsText" text="50">
      <formula>NOT(ISERROR(SEARCH("50",G174)))</formula>
    </cfRule>
    <cfRule type="containsText" dxfId="596" priority="1789" operator="containsText" text="25">
      <formula>NOT(ISERROR(SEARCH("25",G174)))</formula>
    </cfRule>
  </conditionalFormatting>
  <conditionalFormatting sqref="G180:G181">
    <cfRule type="containsText" dxfId="595" priority="1788" operator="containsText" text="75">
      <formula>NOT(ISERROR(SEARCH("75",G180)))</formula>
    </cfRule>
    <cfRule type="containsText" dxfId="594" priority="1787" operator="containsText" text="100">
      <formula>NOT(ISERROR(SEARCH("100",G180)))</formula>
    </cfRule>
    <cfRule type="containsText" dxfId="593" priority="1786" operator="containsText" text="50">
      <formula>NOT(ISERROR(SEARCH("50",G180)))</formula>
    </cfRule>
    <cfRule type="containsText" dxfId="592" priority="1785" operator="containsText" text="25">
      <formula>NOT(ISERROR(SEARCH("25",G180)))</formula>
    </cfRule>
  </conditionalFormatting>
  <conditionalFormatting sqref="G186:G187">
    <cfRule type="containsText" dxfId="591" priority="1784" operator="containsText" text="75">
      <formula>NOT(ISERROR(SEARCH("75",G186)))</formula>
    </cfRule>
    <cfRule type="containsText" dxfId="590" priority="1783" operator="containsText" text="100">
      <formula>NOT(ISERROR(SEARCH("100",G186)))</formula>
    </cfRule>
    <cfRule type="containsText" dxfId="589" priority="1782" operator="containsText" text="50">
      <formula>NOT(ISERROR(SEARCH("50",G186)))</formula>
    </cfRule>
    <cfRule type="containsText" dxfId="588" priority="1781" operator="containsText" text="25">
      <formula>NOT(ISERROR(SEARCH("25",G186)))</formula>
    </cfRule>
  </conditionalFormatting>
  <conditionalFormatting sqref="G192:G193">
    <cfRule type="containsText" dxfId="587" priority="1778" operator="containsText" text="50">
      <formula>NOT(ISERROR(SEARCH("50",G192)))</formula>
    </cfRule>
    <cfRule type="containsText" dxfId="586" priority="1777" operator="containsText" text="25">
      <formula>NOT(ISERROR(SEARCH("25",G192)))</formula>
    </cfRule>
    <cfRule type="containsText" dxfId="585" priority="1779" operator="containsText" text="100">
      <formula>NOT(ISERROR(SEARCH("100",G192)))</formula>
    </cfRule>
    <cfRule type="containsText" dxfId="584" priority="1780" operator="containsText" text="75">
      <formula>NOT(ISERROR(SEARCH("75",G192)))</formula>
    </cfRule>
  </conditionalFormatting>
  <conditionalFormatting sqref="G198:G199">
    <cfRule type="containsText" dxfId="583" priority="1776" operator="containsText" text="75">
      <formula>NOT(ISERROR(SEARCH("75",G198)))</formula>
    </cfRule>
    <cfRule type="containsText" dxfId="582" priority="1773" operator="containsText" text="25">
      <formula>NOT(ISERROR(SEARCH("25",G198)))</formula>
    </cfRule>
    <cfRule type="containsText" dxfId="581" priority="1774" operator="containsText" text="50">
      <formula>NOT(ISERROR(SEARCH("50",G198)))</formula>
    </cfRule>
    <cfRule type="containsText" dxfId="580" priority="1775" operator="containsText" text="100">
      <formula>NOT(ISERROR(SEARCH("100",G198)))</formula>
    </cfRule>
  </conditionalFormatting>
  <conditionalFormatting sqref="G204:G205">
    <cfRule type="containsText" dxfId="579" priority="228" operator="containsText" text="75">
      <formula>NOT(ISERROR(SEARCH("75",G204)))</formula>
    </cfRule>
    <cfRule type="containsText" dxfId="578" priority="227" operator="containsText" text="100">
      <formula>NOT(ISERROR(SEARCH("100",G204)))</formula>
    </cfRule>
    <cfRule type="containsText" dxfId="577" priority="226" operator="containsText" text="50">
      <formula>NOT(ISERROR(SEARCH("50",G204)))</formula>
    </cfRule>
    <cfRule type="containsText" dxfId="576" priority="225" operator="containsText" text="25">
      <formula>NOT(ISERROR(SEARCH("25",G204)))</formula>
    </cfRule>
  </conditionalFormatting>
  <conditionalFormatting sqref="G126:H126">
    <cfRule type="containsText" dxfId="575" priority="1684" operator="containsText" text="75">
      <formula>NOT(ISERROR(SEARCH("75",G126)))</formula>
    </cfRule>
    <cfRule type="containsText" dxfId="574" priority="1683" operator="containsText" text="100">
      <formula>NOT(ISERROR(SEARCH("100",G126)))</formula>
    </cfRule>
    <cfRule type="containsText" dxfId="573" priority="1682" operator="containsText" text="50">
      <formula>NOT(ISERROR(SEARCH("50",G126)))</formula>
    </cfRule>
    <cfRule type="containsText" dxfId="572" priority="1681" operator="containsText" text="25">
      <formula>NOT(ISERROR(SEARCH("25",G126)))</formula>
    </cfRule>
  </conditionalFormatting>
  <conditionalFormatting sqref="G202:J203">
    <cfRule type="containsText" dxfId="571" priority="215" operator="containsText" text="100">
      <formula>NOT(ISERROR(SEARCH("100",G202)))</formula>
    </cfRule>
    <cfRule type="containsText" dxfId="570" priority="213" operator="containsText" text="25">
      <formula>NOT(ISERROR(SEARCH("25",G202)))</formula>
    </cfRule>
    <cfRule type="containsText" dxfId="569" priority="214" operator="containsText" text="50">
      <formula>NOT(ISERROR(SEARCH("50",G202)))</formula>
    </cfRule>
    <cfRule type="containsText" dxfId="568" priority="216" operator="containsText" text="75">
      <formula>NOT(ISERROR(SEARCH("75",G202)))</formula>
    </cfRule>
  </conditionalFormatting>
  <conditionalFormatting sqref="H84:H85 C10:J12 C13:I13 C14:G14 I14:BF14 C137:C138">
    <cfRule type="containsText" dxfId="567" priority="2649" operator="containsText" text="25">
      <formula>NOT(ISERROR(SEARCH("25",C10)))</formula>
    </cfRule>
  </conditionalFormatting>
  <conditionalFormatting sqref="H120:I120">
    <cfRule type="containsText" dxfId="566" priority="1483" operator="containsText" text="100">
      <formula>NOT(ISERROR(SEARCH("100",H120)))</formula>
    </cfRule>
    <cfRule type="containsText" dxfId="565" priority="1482" operator="containsText" text="50">
      <formula>NOT(ISERROR(SEARCH("50",H120)))</formula>
    </cfRule>
    <cfRule type="containsText" dxfId="564" priority="1481" operator="containsText" text="25">
      <formula>NOT(ISERROR(SEARCH("25",H120)))</formula>
    </cfRule>
    <cfRule type="containsText" dxfId="563" priority="1484" operator="containsText" text="75">
      <formula>NOT(ISERROR(SEARCH("75",H120)))</formula>
    </cfRule>
  </conditionalFormatting>
  <conditionalFormatting sqref="H144:I144">
    <cfRule type="containsText" dxfId="562" priority="1496" operator="containsText" text="75">
      <formula>NOT(ISERROR(SEARCH("75",H144)))</formula>
    </cfRule>
    <cfRule type="containsText" dxfId="561" priority="1493" operator="containsText" text="25">
      <formula>NOT(ISERROR(SEARCH("25",H144)))</formula>
    </cfRule>
    <cfRule type="containsText" dxfId="560" priority="1495" operator="containsText" text="100">
      <formula>NOT(ISERROR(SEARCH("100",H144)))</formula>
    </cfRule>
    <cfRule type="containsText" dxfId="559" priority="1494" operator="containsText" text="50">
      <formula>NOT(ISERROR(SEARCH("50",H144)))</formula>
    </cfRule>
  </conditionalFormatting>
  <conditionalFormatting sqref="H162:I162">
    <cfRule type="containsText" dxfId="558" priority="1508" operator="containsText" text="75">
      <formula>NOT(ISERROR(SEARCH("75",H162)))</formula>
    </cfRule>
    <cfRule type="containsText" dxfId="557" priority="1507" operator="containsText" text="100">
      <formula>NOT(ISERROR(SEARCH("100",H162)))</formula>
    </cfRule>
    <cfRule type="containsText" dxfId="556" priority="1506" operator="containsText" text="50">
      <formula>NOT(ISERROR(SEARCH("50",H162)))</formula>
    </cfRule>
    <cfRule type="containsText" dxfId="555" priority="1505" operator="containsText" text="25">
      <formula>NOT(ISERROR(SEARCH("25",H162)))</formula>
    </cfRule>
  </conditionalFormatting>
  <conditionalFormatting sqref="H168:I168">
    <cfRule type="containsText" dxfId="554" priority="1512" operator="containsText" text="75">
      <formula>NOT(ISERROR(SEARCH("75",H168)))</formula>
    </cfRule>
    <cfRule type="containsText" dxfId="553" priority="1510" operator="containsText" text="50">
      <formula>NOT(ISERROR(SEARCH("50",H168)))</formula>
    </cfRule>
    <cfRule type="containsText" dxfId="552" priority="1509" operator="containsText" text="25">
      <formula>NOT(ISERROR(SEARCH("25",H168)))</formula>
    </cfRule>
    <cfRule type="containsText" dxfId="551" priority="1511" operator="containsText" text="100">
      <formula>NOT(ISERROR(SEARCH("100",H168)))</formula>
    </cfRule>
  </conditionalFormatting>
  <conditionalFormatting sqref="H174:I174">
    <cfRule type="containsText" dxfId="550" priority="1513" operator="containsText" text="25">
      <formula>NOT(ISERROR(SEARCH("25",H174)))</formula>
    </cfRule>
    <cfRule type="containsText" dxfId="549" priority="1516" operator="containsText" text="75">
      <formula>NOT(ISERROR(SEARCH("75",H174)))</formula>
    </cfRule>
    <cfRule type="containsText" dxfId="548" priority="1515" operator="containsText" text="100">
      <formula>NOT(ISERROR(SEARCH("100",H174)))</formula>
    </cfRule>
    <cfRule type="containsText" dxfId="547" priority="1514" operator="containsText" text="50">
      <formula>NOT(ISERROR(SEARCH("50",H174)))</formula>
    </cfRule>
  </conditionalFormatting>
  <conditionalFormatting sqref="H180:I180">
    <cfRule type="containsText" dxfId="546" priority="1520" operator="containsText" text="75">
      <formula>NOT(ISERROR(SEARCH("75",H180)))</formula>
    </cfRule>
    <cfRule type="containsText" dxfId="545" priority="1519" operator="containsText" text="100">
      <formula>NOT(ISERROR(SEARCH("100",H180)))</formula>
    </cfRule>
    <cfRule type="containsText" dxfId="544" priority="1518" operator="containsText" text="50">
      <formula>NOT(ISERROR(SEARCH("50",H180)))</formula>
    </cfRule>
    <cfRule type="containsText" dxfId="543" priority="1517" operator="containsText" text="25">
      <formula>NOT(ISERROR(SEARCH("25",H180)))</formula>
    </cfRule>
  </conditionalFormatting>
  <conditionalFormatting sqref="H186:I186">
    <cfRule type="containsText" dxfId="542" priority="1524" operator="containsText" text="75">
      <formula>NOT(ISERROR(SEARCH("75",H186)))</formula>
    </cfRule>
    <cfRule type="containsText" dxfId="541" priority="1523" operator="containsText" text="100">
      <formula>NOT(ISERROR(SEARCH("100",H186)))</formula>
    </cfRule>
    <cfRule type="containsText" dxfId="540" priority="1522" operator="containsText" text="50">
      <formula>NOT(ISERROR(SEARCH("50",H186)))</formula>
    </cfRule>
    <cfRule type="containsText" dxfId="539" priority="1521" operator="containsText" text="25">
      <formula>NOT(ISERROR(SEARCH("25",H186)))</formula>
    </cfRule>
  </conditionalFormatting>
  <conditionalFormatting sqref="H192:I192">
    <cfRule type="containsText" dxfId="538" priority="1527" operator="containsText" text="100">
      <formula>NOT(ISERROR(SEARCH("100",H192)))</formula>
    </cfRule>
    <cfRule type="containsText" dxfId="537" priority="1526" operator="containsText" text="50">
      <formula>NOT(ISERROR(SEARCH("50",H192)))</formula>
    </cfRule>
    <cfRule type="containsText" dxfId="536" priority="1525" operator="containsText" text="25">
      <formula>NOT(ISERROR(SEARCH("25",H192)))</formula>
    </cfRule>
    <cfRule type="containsText" dxfId="535" priority="1528" operator="containsText" text="75">
      <formula>NOT(ISERROR(SEARCH("75",H192)))</formula>
    </cfRule>
  </conditionalFormatting>
  <conditionalFormatting sqref="H198:I198">
    <cfRule type="containsText" dxfId="534" priority="1530" operator="containsText" text="50">
      <formula>NOT(ISERROR(SEARCH("50",H198)))</formula>
    </cfRule>
    <cfRule type="containsText" dxfId="533" priority="1531" operator="containsText" text="100">
      <formula>NOT(ISERROR(SEARCH("100",H198)))</formula>
    </cfRule>
    <cfRule type="containsText" dxfId="532" priority="1532" operator="containsText" text="75">
      <formula>NOT(ISERROR(SEARCH("75",H198)))</formula>
    </cfRule>
    <cfRule type="containsText" dxfId="531" priority="1529" operator="containsText" text="25">
      <formula>NOT(ISERROR(SEARCH("25",H198)))</formula>
    </cfRule>
  </conditionalFormatting>
  <conditionalFormatting sqref="H204:I204">
    <cfRule type="containsText" dxfId="530" priority="210" operator="containsText" text="50">
      <formula>NOT(ISERROR(SEARCH("50",H204)))</formula>
    </cfRule>
    <cfRule type="containsText" dxfId="529" priority="211" operator="containsText" text="100">
      <formula>NOT(ISERROR(SEARCH("100",H204)))</formula>
    </cfRule>
    <cfRule type="containsText" dxfId="528" priority="212" operator="containsText" text="75">
      <formula>NOT(ISERROR(SEARCH("75",H204)))</formula>
    </cfRule>
    <cfRule type="containsText" dxfId="527" priority="209" operator="containsText" text="25">
      <formula>NOT(ISERROR(SEARCH("25",H204)))</formula>
    </cfRule>
  </conditionalFormatting>
  <conditionalFormatting sqref="I31">
    <cfRule type="containsText" dxfId="526" priority="1262" operator="containsText" text="50">
      <formula>NOT(ISERROR(SEARCH("50",I31)))</formula>
    </cfRule>
    <cfRule type="containsText" dxfId="525" priority="1261" operator="containsText" text="25">
      <formula>NOT(ISERROR(SEARCH("25",I31)))</formula>
    </cfRule>
    <cfRule type="containsText" dxfId="524" priority="1264" operator="containsText" text="75">
      <formula>NOT(ISERROR(SEARCH("75",I31)))</formula>
    </cfRule>
    <cfRule type="containsText" dxfId="523" priority="1263" operator="containsText" text="100">
      <formula>NOT(ISERROR(SEARCH("100",I31)))</formula>
    </cfRule>
  </conditionalFormatting>
  <conditionalFormatting sqref="I126:I127">
    <cfRule type="containsText" dxfId="522" priority="1334" operator="containsText" text="50">
      <formula>NOT(ISERROR(SEARCH("50",I126)))</formula>
    </cfRule>
    <cfRule type="containsText" dxfId="521" priority="1333" operator="containsText" text="25">
      <formula>NOT(ISERROR(SEARCH("25",I126)))</formula>
    </cfRule>
    <cfRule type="containsText" dxfId="520" priority="1336" operator="containsText" text="75">
      <formula>NOT(ISERROR(SEARCH("75",I126)))</formula>
    </cfRule>
    <cfRule type="containsText" dxfId="519" priority="1335" operator="containsText" text="100">
      <formula>NOT(ISERROR(SEARCH("100",I126)))</formula>
    </cfRule>
  </conditionalFormatting>
  <conditionalFormatting sqref="I132:I133">
    <cfRule type="containsText" dxfId="518" priority="1286" operator="containsText" text="50">
      <formula>NOT(ISERROR(SEARCH("50",I132)))</formula>
    </cfRule>
    <cfRule type="containsText" dxfId="517" priority="1287" operator="containsText" text="100">
      <formula>NOT(ISERROR(SEARCH("100",I132)))</formula>
    </cfRule>
    <cfRule type="containsText" dxfId="516" priority="1288" operator="containsText" text="75">
      <formula>NOT(ISERROR(SEARCH("75",I132)))</formula>
    </cfRule>
    <cfRule type="containsText" dxfId="515" priority="1285" operator="containsText" text="25">
      <formula>NOT(ISERROR(SEARCH("25",I132)))</formula>
    </cfRule>
  </conditionalFormatting>
  <conditionalFormatting sqref="I138:I139">
    <cfRule type="containsText" dxfId="514" priority="1325" operator="containsText" text="25">
      <formula>NOT(ISERROR(SEARCH("25",I138)))</formula>
    </cfRule>
    <cfRule type="containsText" dxfId="513" priority="1328" operator="containsText" text="75">
      <formula>NOT(ISERROR(SEARCH("75",I138)))</formula>
    </cfRule>
    <cfRule type="containsText" dxfId="512" priority="1326" operator="containsText" text="50">
      <formula>NOT(ISERROR(SEARCH("50",I138)))</formula>
    </cfRule>
    <cfRule type="containsText" dxfId="511" priority="1327" operator="containsText" text="100">
      <formula>NOT(ISERROR(SEARCH("100",I138)))</formula>
    </cfRule>
  </conditionalFormatting>
  <conditionalFormatting sqref="I150:I151">
    <cfRule type="containsText" dxfId="510" priority="1321" operator="containsText" text="25">
      <formula>NOT(ISERROR(SEARCH("25",I150)))</formula>
    </cfRule>
    <cfRule type="containsText" dxfId="509" priority="1324" operator="containsText" text="75">
      <formula>NOT(ISERROR(SEARCH("75",I150)))</formula>
    </cfRule>
    <cfRule type="containsText" dxfId="508" priority="1322" operator="containsText" text="50">
      <formula>NOT(ISERROR(SEARCH("50",I150)))</formula>
    </cfRule>
    <cfRule type="containsText" dxfId="507" priority="1323" operator="containsText" text="100">
      <formula>NOT(ISERROR(SEARCH("100",I150)))</formula>
    </cfRule>
  </conditionalFormatting>
  <conditionalFormatting sqref="I156:I157">
    <cfRule type="containsText" dxfId="506" priority="1316" operator="containsText" text="75">
      <formula>NOT(ISERROR(SEARCH("75",I156)))</formula>
    </cfRule>
    <cfRule type="containsText" dxfId="505" priority="1315" operator="containsText" text="100">
      <formula>NOT(ISERROR(SEARCH("100",I156)))</formula>
    </cfRule>
    <cfRule type="containsText" dxfId="504" priority="1314" operator="containsText" text="50">
      <formula>NOT(ISERROR(SEARCH("50",I156)))</formula>
    </cfRule>
    <cfRule type="containsText" dxfId="503" priority="1313" operator="containsText" text="25">
      <formula>NOT(ISERROR(SEARCH("25",I156)))</formula>
    </cfRule>
  </conditionalFormatting>
  <conditionalFormatting sqref="I163">
    <cfRule type="containsText" dxfId="502" priority="1320" operator="containsText" text="75">
      <formula>NOT(ISERROR(SEARCH("75",I163)))</formula>
    </cfRule>
    <cfRule type="containsText" dxfId="501" priority="1319" operator="containsText" text="100">
      <formula>NOT(ISERROR(SEARCH("100",I163)))</formula>
    </cfRule>
    <cfRule type="containsText" dxfId="500" priority="1318" operator="containsText" text="50">
      <formula>NOT(ISERROR(SEARCH("50",I163)))</formula>
    </cfRule>
    <cfRule type="containsText" dxfId="499" priority="1317" operator="containsText" text="25">
      <formula>NOT(ISERROR(SEARCH("25",I163)))</formula>
    </cfRule>
  </conditionalFormatting>
  <conditionalFormatting sqref="I169">
    <cfRule type="containsText" dxfId="498" priority="1309" operator="containsText" text="25">
      <formula>NOT(ISERROR(SEARCH("25",I169)))</formula>
    </cfRule>
    <cfRule type="containsText" dxfId="497" priority="1310" operator="containsText" text="50">
      <formula>NOT(ISERROR(SEARCH("50",I169)))</formula>
    </cfRule>
    <cfRule type="containsText" dxfId="496" priority="1311" operator="containsText" text="100">
      <formula>NOT(ISERROR(SEARCH("100",I169)))</formula>
    </cfRule>
    <cfRule type="containsText" dxfId="495" priority="1312" operator="containsText" text="75">
      <formula>NOT(ISERROR(SEARCH("75",I169)))</formula>
    </cfRule>
  </conditionalFormatting>
  <conditionalFormatting sqref="I181">
    <cfRule type="containsText" dxfId="494" priority="1304" operator="containsText" text="75">
      <formula>NOT(ISERROR(SEARCH("75",I181)))</formula>
    </cfRule>
    <cfRule type="containsText" dxfId="493" priority="1302" operator="containsText" text="50">
      <formula>NOT(ISERROR(SEARCH("50",I181)))</formula>
    </cfRule>
    <cfRule type="containsText" dxfId="492" priority="1301" operator="containsText" text="25">
      <formula>NOT(ISERROR(SEARCH("25",I181)))</formula>
    </cfRule>
    <cfRule type="containsText" dxfId="491" priority="1303" operator="containsText" text="100">
      <formula>NOT(ISERROR(SEARCH("100",I181)))</formula>
    </cfRule>
  </conditionalFormatting>
  <conditionalFormatting sqref="I193">
    <cfRule type="containsText" dxfId="490" priority="1299" operator="containsText" text="100">
      <formula>NOT(ISERROR(SEARCH("100",I193)))</formula>
    </cfRule>
    <cfRule type="containsText" dxfId="489" priority="1300" operator="containsText" text="75">
      <formula>NOT(ISERROR(SEARCH("75",I193)))</formula>
    </cfRule>
    <cfRule type="containsText" dxfId="488" priority="1298" operator="containsText" text="50">
      <formula>NOT(ISERROR(SEARCH("50",I193)))</formula>
    </cfRule>
    <cfRule type="containsText" dxfId="487" priority="1297" operator="containsText" text="25">
      <formula>NOT(ISERROR(SEARCH("25",I193)))</formula>
    </cfRule>
  </conditionalFormatting>
  <conditionalFormatting sqref="I136:J137">
    <cfRule type="containsText" dxfId="486" priority="1584" operator="containsText" text="75">
      <formula>NOT(ISERROR(SEARCH("75",I136)))</formula>
    </cfRule>
    <cfRule type="containsText" dxfId="485" priority="1583" operator="containsText" text="100">
      <formula>NOT(ISERROR(SEARCH("100",I136)))</formula>
    </cfRule>
    <cfRule type="containsText" dxfId="484" priority="1582" operator="containsText" text="50">
      <formula>NOT(ISERROR(SEARCH("50",I136)))</formula>
    </cfRule>
    <cfRule type="containsText" dxfId="483" priority="1581" operator="containsText" text="25">
      <formula>NOT(ISERROR(SEARCH("25",I136)))</formula>
    </cfRule>
  </conditionalFormatting>
  <conditionalFormatting sqref="I142:J143">
    <cfRule type="containsText" dxfId="482" priority="1580" operator="containsText" text="75">
      <formula>NOT(ISERROR(SEARCH("75",I142)))</formula>
    </cfRule>
    <cfRule type="containsText" dxfId="481" priority="1579" operator="containsText" text="100">
      <formula>NOT(ISERROR(SEARCH("100",I142)))</formula>
    </cfRule>
    <cfRule type="containsText" dxfId="480" priority="1578" operator="containsText" text="50">
      <formula>NOT(ISERROR(SEARCH("50",I142)))</formula>
    </cfRule>
    <cfRule type="containsText" dxfId="479" priority="1577" operator="containsText" text="25">
      <formula>NOT(ISERROR(SEARCH("25",I142)))</formula>
    </cfRule>
  </conditionalFormatting>
  <conditionalFormatting sqref="I145:J145">
    <cfRule type="containsText" dxfId="478" priority="1329" operator="containsText" text="25">
      <formula>NOT(ISERROR(SEARCH("25",I145)))</formula>
    </cfRule>
    <cfRule type="containsText" dxfId="477" priority="1330" operator="containsText" text="50">
      <formula>NOT(ISERROR(SEARCH("50",I145)))</formula>
    </cfRule>
    <cfRule type="containsText" dxfId="476" priority="1331" operator="containsText" text="100">
      <formula>NOT(ISERROR(SEARCH("100",I145)))</formula>
    </cfRule>
    <cfRule type="containsText" dxfId="475" priority="1332" operator="containsText" text="75">
      <formula>NOT(ISERROR(SEARCH("75",I145)))</formula>
    </cfRule>
  </conditionalFormatting>
  <conditionalFormatting sqref="I148:J149">
    <cfRule type="containsText" dxfId="474" priority="1576" operator="containsText" text="75">
      <formula>NOT(ISERROR(SEARCH("75",I148)))</formula>
    </cfRule>
    <cfRule type="containsText" dxfId="473" priority="1575" operator="containsText" text="100">
      <formula>NOT(ISERROR(SEARCH("100",I148)))</formula>
    </cfRule>
    <cfRule type="containsText" dxfId="472" priority="1574" operator="containsText" text="50">
      <formula>NOT(ISERROR(SEARCH("50",I148)))</formula>
    </cfRule>
    <cfRule type="containsText" dxfId="471" priority="1573" operator="containsText" text="25">
      <formula>NOT(ISERROR(SEARCH("25",I148)))</formula>
    </cfRule>
  </conditionalFormatting>
  <conditionalFormatting sqref="I160:J161">
    <cfRule type="containsText" dxfId="470" priority="1567" operator="containsText" text="100">
      <formula>NOT(ISERROR(SEARCH("100",I160)))</formula>
    </cfRule>
    <cfRule type="containsText" dxfId="469" priority="1566" operator="containsText" text="50">
      <formula>NOT(ISERROR(SEARCH("50",I160)))</formula>
    </cfRule>
    <cfRule type="containsText" dxfId="468" priority="1565" operator="containsText" text="25">
      <formula>NOT(ISERROR(SEARCH("25",I160)))</formula>
    </cfRule>
    <cfRule type="containsText" dxfId="467" priority="1568" operator="containsText" text="75">
      <formula>NOT(ISERROR(SEARCH("75",I160)))</formula>
    </cfRule>
  </conditionalFormatting>
  <conditionalFormatting sqref="I175:J175">
    <cfRule type="containsText" dxfId="466" priority="1308" operator="containsText" text="75">
      <formula>NOT(ISERROR(SEARCH("75",I175)))</formula>
    </cfRule>
    <cfRule type="containsText" dxfId="465" priority="1307" operator="containsText" text="100">
      <formula>NOT(ISERROR(SEARCH("100",I175)))</formula>
    </cfRule>
    <cfRule type="containsText" dxfId="464" priority="1305" operator="containsText" text="25">
      <formula>NOT(ISERROR(SEARCH("25",I175)))</formula>
    </cfRule>
    <cfRule type="containsText" dxfId="463" priority="1306" operator="containsText" text="50">
      <formula>NOT(ISERROR(SEARCH("50",I175)))</formula>
    </cfRule>
  </conditionalFormatting>
  <conditionalFormatting sqref="I196:J197">
    <cfRule type="containsText" dxfId="462" priority="1544" operator="containsText" text="75">
      <formula>NOT(ISERROR(SEARCH("75",I196)))</formula>
    </cfRule>
    <cfRule type="containsText" dxfId="461" priority="1543" operator="containsText" text="100">
      <formula>NOT(ISERROR(SEARCH("100",I196)))</formula>
    </cfRule>
    <cfRule type="containsText" dxfId="460" priority="1542" operator="containsText" text="50">
      <formula>NOT(ISERROR(SEARCH("50",I196)))</formula>
    </cfRule>
    <cfRule type="containsText" dxfId="459" priority="1541" operator="containsText" text="25">
      <formula>NOT(ISERROR(SEARCH("25",I196)))</formula>
    </cfRule>
  </conditionalFormatting>
  <conditionalFormatting sqref="I199:J199">
    <cfRule type="containsText" dxfId="458" priority="1293" operator="containsText" text="25">
      <formula>NOT(ISERROR(SEARCH("25",I199)))</formula>
    </cfRule>
    <cfRule type="containsText" dxfId="457" priority="1294" operator="containsText" text="50">
      <formula>NOT(ISERROR(SEARCH("50",I199)))</formula>
    </cfRule>
    <cfRule type="containsText" dxfId="456" priority="1295" operator="containsText" text="100">
      <formula>NOT(ISERROR(SEARCH("100",I199)))</formula>
    </cfRule>
    <cfRule type="containsText" dxfId="455" priority="1296" operator="containsText" text="75">
      <formula>NOT(ISERROR(SEARCH("75",I199)))</formula>
    </cfRule>
  </conditionalFormatting>
  <conditionalFormatting sqref="I205:J205">
    <cfRule type="containsText" dxfId="454" priority="208" operator="containsText" text="75">
      <formula>NOT(ISERROR(SEARCH("75",I205)))</formula>
    </cfRule>
    <cfRule type="containsText" dxfId="453" priority="205" operator="containsText" text="25">
      <formula>NOT(ISERROR(SEARCH("25",I205)))</formula>
    </cfRule>
    <cfRule type="containsText" dxfId="452" priority="207" operator="containsText" text="100">
      <formula>NOT(ISERROR(SEARCH("100",I205)))</formula>
    </cfRule>
    <cfRule type="containsText" dxfId="451" priority="206" operator="containsText" text="50">
      <formula>NOT(ISERROR(SEARCH("50",I205)))</formula>
    </cfRule>
  </conditionalFormatting>
  <conditionalFormatting sqref="I84:K84">
    <cfRule type="containsText" dxfId="450" priority="681" operator="containsText" text="25">
      <formula>NOT(ISERROR(SEARCH("25",I84)))</formula>
    </cfRule>
    <cfRule type="containsText" dxfId="449" priority="682" operator="containsText" text="50">
      <formula>NOT(ISERROR(SEARCH("50",I84)))</formula>
    </cfRule>
    <cfRule type="containsText" dxfId="448" priority="683" operator="containsText" text="100">
      <formula>NOT(ISERROR(SEARCH("100",I84)))</formula>
    </cfRule>
    <cfRule type="containsText" dxfId="447" priority="684" operator="containsText" text="75">
      <formula>NOT(ISERROR(SEARCH("75",I84)))</formula>
    </cfRule>
  </conditionalFormatting>
  <conditionalFormatting sqref="I121:K121">
    <cfRule type="containsText" dxfId="446" priority="898" operator="containsText" text="50">
      <formula>NOT(ISERROR(SEARCH("50",I121)))</formula>
    </cfRule>
    <cfRule type="containsText" dxfId="445" priority="897" operator="containsText" text="25">
      <formula>NOT(ISERROR(SEARCH("25",I121)))</formula>
    </cfRule>
    <cfRule type="containsText" dxfId="444" priority="899" operator="containsText" text="100">
      <formula>NOT(ISERROR(SEARCH("100",I121)))</formula>
    </cfRule>
    <cfRule type="containsText" dxfId="443" priority="900" operator="containsText" text="75">
      <formula>NOT(ISERROR(SEARCH("75",I121)))</formula>
    </cfRule>
  </conditionalFormatting>
  <conditionalFormatting sqref="I154:K155">
    <cfRule type="containsText" dxfId="442" priority="847" operator="containsText" text="100">
      <formula>NOT(ISERROR(SEARCH("100",I154)))</formula>
    </cfRule>
    <cfRule type="containsText" dxfId="441" priority="848" operator="containsText" text="75">
      <formula>NOT(ISERROR(SEARCH("75",I154)))</formula>
    </cfRule>
    <cfRule type="containsText" dxfId="440" priority="846" operator="containsText" text="50">
      <formula>NOT(ISERROR(SEARCH("50",I154)))</formula>
    </cfRule>
    <cfRule type="containsText" dxfId="439" priority="845" operator="containsText" text="25">
      <formula>NOT(ISERROR(SEARCH("25",I154)))</formula>
    </cfRule>
  </conditionalFormatting>
  <conditionalFormatting sqref="I166:K167">
    <cfRule type="containsText" dxfId="438" priority="830" operator="containsText" text="50">
      <formula>NOT(ISERROR(SEARCH("50",I166)))</formula>
    </cfRule>
    <cfRule type="containsText" dxfId="437" priority="829" operator="containsText" text="25">
      <formula>NOT(ISERROR(SEARCH("25",I166)))</formula>
    </cfRule>
    <cfRule type="containsText" dxfId="436" priority="831" operator="containsText" text="100">
      <formula>NOT(ISERROR(SEARCH("100",I166)))</formula>
    </cfRule>
    <cfRule type="containsText" dxfId="435" priority="832" operator="containsText" text="75">
      <formula>NOT(ISERROR(SEARCH("75",I166)))</formula>
    </cfRule>
  </conditionalFormatting>
  <conditionalFormatting sqref="I178:K179">
    <cfRule type="containsText" dxfId="434" priority="810" operator="containsText" text="50">
      <formula>NOT(ISERROR(SEARCH("50",I178)))</formula>
    </cfRule>
    <cfRule type="containsText" dxfId="433" priority="811" operator="containsText" text="100">
      <formula>NOT(ISERROR(SEARCH("100",I178)))</formula>
    </cfRule>
    <cfRule type="containsText" dxfId="432" priority="812" operator="containsText" text="75">
      <formula>NOT(ISERROR(SEARCH("75",I178)))</formula>
    </cfRule>
    <cfRule type="containsText" dxfId="431" priority="809" operator="containsText" text="25">
      <formula>NOT(ISERROR(SEARCH("25",I178)))</formula>
    </cfRule>
  </conditionalFormatting>
  <conditionalFormatting sqref="I184:K185">
    <cfRule type="containsText" dxfId="430" priority="789" operator="containsText" text="25">
      <formula>NOT(ISERROR(SEARCH("25",I184)))</formula>
    </cfRule>
    <cfRule type="containsText" dxfId="429" priority="792" operator="containsText" text="75">
      <formula>NOT(ISERROR(SEARCH("75",I184)))</formula>
    </cfRule>
    <cfRule type="containsText" dxfId="428" priority="791" operator="containsText" text="100">
      <formula>NOT(ISERROR(SEARCH("100",I184)))</formula>
    </cfRule>
    <cfRule type="containsText" dxfId="427" priority="790" operator="containsText" text="50">
      <formula>NOT(ISERROR(SEARCH("50",I184)))</formula>
    </cfRule>
  </conditionalFormatting>
  <conditionalFormatting sqref="I187:K187">
    <cfRule type="containsText" dxfId="426" priority="761" operator="containsText" text="25">
      <formula>NOT(ISERROR(SEARCH("25",I187)))</formula>
    </cfRule>
    <cfRule type="containsText" dxfId="425" priority="763" operator="containsText" text="100">
      <formula>NOT(ISERROR(SEARCH("100",I187)))</formula>
    </cfRule>
    <cfRule type="containsText" dxfId="424" priority="764" operator="containsText" text="75">
      <formula>NOT(ISERROR(SEARCH("75",I187)))</formula>
    </cfRule>
    <cfRule type="containsText" dxfId="423" priority="762" operator="containsText" text="50">
      <formula>NOT(ISERROR(SEARCH("50",I187)))</formula>
    </cfRule>
  </conditionalFormatting>
  <conditionalFormatting sqref="I32:BF32">
    <cfRule type="containsText" dxfId="422" priority="1268" operator="containsText" text="75">
      <formula>NOT(ISERROR(SEARCH("75",I32)))</formula>
    </cfRule>
    <cfRule type="containsText" dxfId="421" priority="1267" operator="containsText" text="100">
      <formula>NOT(ISERROR(SEARCH("100",I32)))</formula>
    </cfRule>
    <cfRule type="containsText" dxfId="420" priority="1266" operator="containsText" text="50">
      <formula>NOT(ISERROR(SEARCH("50",I32)))</formula>
    </cfRule>
    <cfRule type="containsText" dxfId="419" priority="1265" operator="containsText" text="25">
      <formula>NOT(ISERROR(SEARCH("25",I32)))</formula>
    </cfRule>
  </conditionalFormatting>
  <conditionalFormatting sqref="J133:K133">
    <cfRule type="containsText" dxfId="418" priority="876" operator="containsText" text="75">
      <formula>NOT(ISERROR(SEARCH("75",J133)))</formula>
    </cfRule>
    <cfRule type="containsText" dxfId="417" priority="875" operator="containsText" text="100">
      <formula>NOT(ISERROR(SEARCH("100",J133)))</formula>
    </cfRule>
    <cfRule type="containsText" dxfId="416" priority="874" operator="containsText" text="50">
      <formula>NOT(ISERROR(SEARCH("50",J133)))</formula>
    </cfRule>
    <cfRule type="containsText" dxfId="415" priority="873" operator="containsText" text="25">
      <formula>NOT(ISERROR(SEARCH("25",J133)))</formula>
    </cfRule>
  </conditionalFormatting>
  <conditionalFormatting sqref="J157:K157">
    <cfRule type="containsText" dxfId="414" priority="729" operator="containsText" text="25">
      <formula>NOT(ISERROR(SEARCH("25",J157)))</formula>
    </cfRule>
    <cfRule type="containsText" dxfId="413" priority="730" operator="containsText" text="50">
      <formula>NOT(ISERROR(SEARCH("50",J157)))</formula>
    </cfRule>
    <cfRule type="containsText" dxfId="412" priority="731" operator="containsText" text="100">
      <formula>NOT(ISERROR(SEARCH("100",J157)))</formula>
    </cfRule>
    <cfRule type="containsText" dxfId="411" priority="732" operator="containsText" text="75">
      <formula>NOT(ISERROR(SEARCH("75",J157)))</formula>
    </cfRule>
  </conditionalFormatting>
  <conditionalFormatting sqref="K31">
    <cfRule type="containsText" dxfId="410" priority="599" operator="containsText" text="100">
      <formula>NOT(ISERROR(SEARCH("100",K31)))</formula>
    </cfRule>
    <cfRule type="containsText" dxfId="409" priority="598" operator="containsText" text="50">
      <formula>NOT(ISERROR(SEARCH("50",K31)))</formula>
    </cfRule>
    <cfRule type="containsText" dxfId="408" priority="597" operator="containsText" text="25">
      <formula>NOT(ISERROR(SEARCH("25",K31)))</formula>
    </cfRule>
    <cfRule type="containsText" dxfId="407" priority="600" operator="containsText" text="75">
      <formula>NOT(ISERROR(SEARCH("75",K31)))</formula>
    </cfRule>
  </conditionalFormatting>
  <conditionalFormatting sqref="K85">
    <cfRule type="containsText" dxfId="406" priority="677" operator="containsText" text="25">
      <formula>NOT(ISERROR(SEARCH("25",K85)))</formula>
    </cfRule>
    <cfRule type="containsText" dxfId="405" priority="678" operator="containsText" text="50">
      <formula>NOT(ISERROR(SEARCH("50",K85)))</formula>
    </cfRule>
    <cfRule type="containsText" dxfId="404" priority="679" operator="containsText" text="100">
      <formula>NOT(ISERROR(SEARCH("100",K85)))</formula>
    </cfRule>
    <cfRule type="containsText" dxfId="403" priority="680" operator="containsText" text="75">
      <formula>NOT(ISERROR(SEARCH("75",K85)))</formula>
    </cfRule>
  </conditionalFormatting>
  <conditionalFormatting sqref="K120">
    <cfRule type="containsText" dxfId="402" priority="706" operator="containsText" text="50">
      <formula>NOT(ISERROR(SEARCH("50",K120)))</formula>
    </cfRule>
    <cfRule type="containsText" dxfId="401" priority="708" operator="containsText" text="75">
      <formula>NOT(ISERROR(SEARCH("75",K120)))</formula>
    </cfRule>
    <cfRule type="containsText" dxfId="400" priority="707" operator="containsText" text="100">
      <formula>NOT(ISERROR(SEARCH("100",K120)))</formula>
    </cfRule>
    <cfRule type="containsText" dxfId="399" priority="705" operator="containsText" text="25">
      <formula>NOT(ISERROR(SEARCH("25",K120)))</formula>
    </cfRule>
  </conditionalFormatting>
  <conditionalFormatting sqref="K126:K127">
    <cfRule type="containsText" dxfId="398" priority="882" operator="containsText" text="50">
      <formula>NOT(ISERROR(SEARCH("50",K126)))</formula>
    </cfRule>
    <cfRule type="containsText" dxfId="397" priority="881" operator="containsText" text="25">
      <formula>NOT(ISERROR(SEARCH("25",K126)))</formula>
    </cfRule>
    <cfRule type="containsText" dxfId="396" priority="883" operator="containsText" text="100">
      <formula>NOT(ISERROR(SEARCH("100",K126)))</formula>
    </cfRule>
    <cfRule type="containsText" dxfId="395" priority="884" operator="containsText" text="75">
      <formula>NOT(ISERROR(SEARCH("75",K126)))</formula>
    </cfRule>
  </conditionalFormatting>
  <conditionalFormatting sqref="K130:K132">
    <cfRule type="containsText" dxfId="394" priority="569" operator="containsText" text="25">
      <formula>NOT(ISERROR(SEARCH("25",K130)))</formula>
    </cfRule>
    <cfRule type="containsText" dxfId="393" priority="570" operator="containsText" text="50">
      <formula>NOT(ISERROR(SEARCH("50",K130)))</formula>
    </cfRule>
    <cfRule type="containsText" dxfId="392" priority="571" operator="containsText" text="100">
      <formula>NOT(ISERROR(SEARCH("100",K130)))</formula>
    </cfRule>
    <cfRule type="containsText" dxfId="391" priority="572" operator="containsText" text="75">
      <formula>NOT(ISERROR(SEARCH("75",K130)))</formula>
    </cfRule>
  </conditionalFormatting>
  <conditionalFormatting sqref="K156">
    <cfRule type="containsText" dxfId="390" priority="727" operator="containsText" text="100">
      <formula>NOT(ISERROR(SEARCH("100",K156)))</formula>
    </cfRule>
    <cfRule type="containsText" dxfId="389" priority="726" operator="containsText" text="50">
      <formula>NOT(ISERROR(SEARCH("50",K156)))</formula>
    </cfRule>
    <cfRule type="containsText" dxfId="388" priority="725" operator="containsText" text="25">
      <formula>NOT(ISERROR(SEARCH("25",K156)))</formula>
    </cfRule>
    <cfRule type="containsText" dxfId="387" priority="728" operator="containsText" text="75">
      <formula>NOT(ISERROR(SEARCH("75",K156)))</formula>
    </cfRule>
  </conditionalFormatting>
  <conditionalFormatting sqref="K168:K169">
    <cfRule type="containsText" dxfId="386" priority="744" operator="containsText" text="75">
      <formula>NOT(ISERROR(SEARCH("75",K168)))</formula>
    </cfRule>
    <cfRule type="containsText" dxfId="385" priority="743" operator="containsText" text="100">
      <formula>NOT(ISERROR(SEARCH("100",K168)))</formula>
    </cfRule>
    <cfRule type="containsText" dxfId="384" priority="742" operator="containsText" text="50">
      <formula>NOT(ISERROR(SEARCH("50",K168)))</formula>
    </cfRule>
    <cfRule type="containsText" dxfId="383" priority="741" operator="containsText" text="25">
      <formula>NOT(ISERROR(SEARCH("25",K168)))</formula>
    </cfRule>
  </conditionalFormatting>
  <conditionalFormatting sqref="K180:K181">
    <cfRule type="containsText" dxfId="382" priority="802" operator="containsText" text="50">
      <formula>NOT(ISERROR(SEARCH("50",K180)))</formula>
    </cfRule>
    <cfRule type="containsText" dxfId="381" priority="801" operator="containsText" text="25">
      <formula>NOT(ISERROR(SEARCH("25",K180)))</formula>
    </cfRule>
    <cfRule type="containsText" dxfId="380" priority="804" operator="containsText" text="75">
      <formula>NOT(ISERROR(SEARCH("75",K180)))</formula>
    </cfRule>
    <cfRule type="containsText" dxfId="379" priority="803" operator="containsText" text="100">
      <formula>NOT(ISERROR(SEARCH("100",K180)))</formula>
    </cfRule>
  </conditionalFormatting>
  <conditionalFormatting sqref="K186">
    <cfRule type="containsText" dxfId="378" priority="760" operator="containsText" text="75">
      <formula>NOT(ISERROR(SEARCH("75",K186)))</formula>
    </cfRule>
    <cfRule type="containsText" dxfId="377" priority="759" operator="containsText" text="100">
      <formula>NOT(ISERROR(SEARCH("100",K186)))</formula>
    </cfRule>
    <cfRule type="containsText" dxfId="376" priority="758" operator="containsText" text="50">
      <formula>NOT(ISERROR(SEARCH("50",K186)))</formula>
    </cfRule>
    <cfRule type="containsText" dxfId="375" priority="757" operator="containsText" text="25">
      <formula>NOT(ISERROR(SEARCH("25",K186)))</formula>
    </cfRule>
  </conditionalFormatting>
  <conditionalFormatting sqref="K192:K193">
    <cfRule type="containsText" dxfId="374" priority="756" operator="containsText" text="75">
      <formula>NOT(ISERROR(SEARCH("75",K192)))</formula>
    </cfRule>
    <cfRule type="containsText" dxfId="373" priority="755" operator="containsText" text="100">
      <formula>NOT(ISERROR(SEARCH("100",K192)))</formula>
    </cfRule>
    <cfRule type="containsText" dxfId="372" priority="754" operator="containsText" text="50">
      <formula>NOT(ISERROR(SEARCH("50",K192)))</formula>
    </cfRule>
    <cfRule type="containsText" dxfId="371" priority="753" operator="containsText" text="25">
      <formula>NOT(ISERROR(SEARCH("25",K192)))</formula>
    </cfRule>
  </conditionalFormatting>
  <conditionalFormatting sqref="K142:L145">
    <cfRule type="containsText" dxfId="370" priority="713" operator="containsText" text="25">
      <formula>NOT(ISERROR(SEARCH("25",K142)))</formula>
    </cfRule>
    <cfRule type="containsText" dxfId="369" priority="714" operator="containsText" text="50">
      <formula>NOT(ISERROR(SEARCH("50",K142)))</formula>
    </cfRule>
    <cfRule type="containsText" dxfId="368" priority="715" operator="containsText" text="100">
      <formula>NOT(ISERROR(SEARCH("100",K142)))</formula>
    </cfRule>
    <cfRule type="containsText" dxfId="367" priority="716" operator="containsText" text="75">
      <formula>NOT(ISERROR(SEARCH("75",K142)))</formula>
    </cfRule>
  </conditionalFormatting>
  <conditionalFormatting sqref="K148:L151">
    <cfRule type="containsText" dxfId="366" priority="719" operator="containsText" text="100">
      <formula>NOT(ISERROR(SEARCH("100",K148)))</formula>
    </cfRule>
    <cfRule type="containsText" dxfId="365" priority="720" operator="containsText" text="75">
      <formula>NOT(ISERROR(SEARCH("75",K148)))</formula>
    </cfRule>
    <cfRule type="containsText" dxfId="364" priority="718" operator="containsText" text="50">
      <formula>NOT(ISERROR(SEARCH("50",K148)))</formula>
    </cfRule>
    <cfRule type="containsText" dxfId="363" priority="717" operator="containsText" text="25">
      <formula>NOT(ISERROR(SEARCH("25",K148)))</formula>
    </cfRule>
  </conditionalFormatting>
  <conditionalFormatting sqref="K160:L163">
    <cfRule type="containsText" dxfId="362" priority="734" operator="containsText" text="50">
      <formula>NOT(ISERROR(SEARCH("50",K160)))</formula>
    </cfRule>
    <cfRule type="containsText" dxfId="361" priority="736" operator="containsText" text="75">
      <formula>NOT(ISERROR(SEARCH("75",K160)))</formula>
    </cfRule>
    <cfRule type="containsText" dxfId="360" priority="735" operator="containsText" text="100">
      <formula>NOT(ISERROR(SEARCH("100",K160)))</formula>
    </cfRule>
    <cfRule type="containsText" dxfId="359" priority="733" operator="containsText" text="25">
      <formula>NOT(ISERROR(SEARCH("25",K160)))</formula>
    </cfRule>
  </conditionalFormatting>
  <conditionalFormatting sqref="K172:L175">
    <cfRule type="containsText" dxfId="358" priority="749" operator="containsText" text="25">
      <formula>NOT(ISERROR(SEARCH("25",K172)))</formula>
    </cfRule>
    <cfRule type="containsText" dxfId="357" priority="750" operator="containsText" text="50">
      <formula>NOT(ISERROR(SEARCH("50",K172)))</formula>
    </cfRule>
    <cfRule type="containsText" dxfId="356" priority="752" operator="containsText" text="75">
      <formula>NOT(ISERROR(SEARCH("75",K172)))</formula>
    </cfRule>
    <cfRule type="containsText" dxfId="355" priority="751" operator="containsText" text="100">
      <formula>NOT(ISERROR(SEARCH("100",K172)))</formula>
    </cfRule>
  </conditionalFormatting>
  <conditionalFormatting sqref="K196:L199">
    <cfRule type="containsText" dxfId="354" priority="765" operator="containsText" text="25">
      <formula>NOT(ISERROR(SEARCH("25",K196)))</formula>
    </cfRule>
    <cfRule type="containsText" dxfId="353" priority="766" operator="containsText" text="50">
      <formula>NOT(ISERROR(SEARCH("50",K196)))</formula>
    </cfRule>
    <cfRule type="containsText" dxfId="352" priority="767" operator="containsText" text="100">
      <formula>NOT(ISERROR(SEARCH("100",K196)))</formula>
    </cfRule>
    <cfRule type="containsText" dxfId="351" priority="768" operator="containsText" text="75">
      <formula>NOT(ISERROR(SEARCH("75",K196)))</formula>
    </cfRule>
  </conditionalFormatting>
  <conditionalFormatting sqref="K10:BF13">
    <cfRule type="containsText" dxfId="350" priority="345" operator="containsText" text="25">
      <formula>NOT(ISERROR(SEARCH("25",K10)))</formula>
    </cfRule>
    <cfRule type="containsText" dxfId="349" priority="346" operator="containsText" text="50">
      <formula>NOT(ISERROR(SEARCH("50",K10)))</formula>
    </cfRule>
    <cfRule type="containsText" dxfId="348" priority="347" operator="containsText" text="100">
      <formula>NOT(ISERROR(SEARCH("100",K10)))</formula>
    </cfRule>
    <cfRule type="containsText" dxfId="347" priority="348" operator="containsText" text="75">
      <formula>NOT(ISERROR(SEARCH("75",K10)))</formula>
    </cfRule>
  </conditionalFormatting>
  <conditionalFormatting sqref="K64:R67 T64:BF67">
    <cfRule type="containsText" dxfId="346" priority="442" operator="containsText" text="50">
      <formula>NOT(ISERROR(SEARCH("50",K64)))</formula>
    </cfRule>
    <cfRule type="containsText" dxfId="345" priority="441" operator="containsText" text="25">
      <formula>NOT(ISERROR(SEARCH("25",K64)))</formula>
    </cfRule>
    <cfRule type="containsText" dxfId="344" priority="443" operator="containsText" text="100">
      <formula>NOT(ISERROR(SEARCH("100",K64)))</formula>
    </cfRule>
    <cfRule type="containsText" dxfId="343" priority="444" operator="containsText" text="75">
      <formula>NOT(ISERROR(SEARCH("75",K64)))</formula>
    </cfRule>
  </conditionalFormatting>
  <conditionalFormatting sqref="K106:BF109">
    <cfRule type="containsText" dxfId="342" priority="306" operator="containsText" text="50">
      <formula>NOT(ISERROR(SEARCH("50",K106)))</formula>
    </cfRule>
    <cfRule type="containsText" dxfId="341" priority="308" operator="containsText" text="75">
      <formula>NOT(ISERROR(SEARCH("75",K106)))</formula>
    </cfRule>
    <cfRule type="containsText" dxfId="340" priority="305" operator="containsText" text="25">
      <formula>NOT(ISERROR(SEARCH("25",K106)))</formula>
    </cfRule>
    <cfRule type="containsText" dxfId="339" priority="307" operator="containsText" text="100">
      <formula>NOT(ISERROR(SEARCH("100",K106)))</formula>
    </cfRule>
  </conditionalFormatting>
  <conditionalFormatting sqref="C116:BF116 K114:R115 T114:BF115">
    <cfRule type="containsText" dxfId="338" priority="1600" operator="containsText" text="75">
      <formula>NOT(ISERROR(SEARCH("75",C114)))</formula>
    </cfRule>
    <cfRule type="containsText" dxfId="337" priority="1599" operator="containsText" text="100">
      <formula>NOT(ISERROR(SEARCH("100",C114)))</formula>
    </cfRule>
    <cfRule type="containsText" dxfId="336" priority="1597" operator="containsText" text="25">
      <formula>NOT(ISERROR(SEARCH("25",C114)))</formula>
    </cfRule>
    <cfRule type="containsText" dxfId="335" priority="1598" operator="containsText" text="50">
      <formula>NOT(ISERROR(SEARCH("50",C114)))</formula>
    </cfRule>
  </conditionalFormatting>
  <conditionalFormatting sqref="L118:L121">
    <cfRule type="containsText" dxfId="334" priority="1041" operator="containsText" text="25">
      <formula>NOT(ISERROR(SEARCH("25",L118)))</formula>
    </cfRule>
    <cfRule type="containsText" dxfId="333" priority="1042" operator="containsText" text="50">
      <formula>NOT(ISERROR(SEARCH("50",L118)))</formula>
    </cfRule>
    <cfRule type="containsText" dxfId="332" priority="1043" operator="containsText" text="100">
      <formula>NOT(ISERROR(SEARCH("100",L118)))</formula>
    </cfRule>
    <cfRule type="containsText" dxfId="331" priority="1044" operator="containsText" text="75">
      <formula>NOT(ISERROR(SEARCH("75",L118)))</formula>
    </cfRule>
  </conditionalFormatting>
  <conditionalFormatting sqref="L124:L126">
    <cfRule type="containsText" dxfId="330" priority="1147" operator="containsText" text="100">
      <formula>NOT(ISERROR(SEARCH("100",L124)))</formula>
    </cfRule>
    <cfRule type="containsText" dxfId="329" priority="1146" operator="containsText" text="50">
      <formula>NOT(ISERROR(SEARCH("50",L124)))</formula>
    </cfRule>
    <cfRule type="containsText" dxfId="328" priority="1145" operator="containsText" text="25">
      <formula>NOT(ISERROR(SEARCH("25",L124)))</formula>
    </cfRule>
    <cfRule type="containsText" dxfId="327" priority="1148" operator="containsText" text="75">
      <formula>NOT(ISERROR(SEARCH("75",L124)))</formula>
    </cfRule>
  </conditionalFormatting>
  <conditionalFormatting sqref="L130:L133">
    <cfRule type="containsText" dxfId="326" priority="1137" operator="containsText" text="25">
      <formula>NOT(ISERROR(SEARCH("25",L130)))</formula>
    </cfRule>
    <cfRule type="containsText" dxfId="325" priority="1138" operator="containsText" text="50">
      <formula>NOT(ISERROR(SEARCH("50",L130)))</formula>
    </cfRule>
    <cfRule type="containsText" dxfId="324" priority="1139" operator="containsText" text="100">
      <formula>NOT(ISERROR(SEARCH("100",L130)))</formula>
    </cfRule>
    <cfRule type="containsText" dxfId="323" priority="1140" operator="containsText" text="75">
      <formula>NOT(ISERROR(SEARCH("75",L130)))</formula>
    </cfRule>
  </conditionalFormatting>
  <conditionalFormatting sqref="L154:L157">
    <cfRule type="containsText" dxfId="322" priority="1113" operator="containsText" text="25">
      <formula>NOT(ISERROR(SEARCH("25",L154)))</formula>
    </cfRule>
    <cfRule type="containsText" dxfId="321" priority="1114" operator="containsText" text="50">
      <formula>NOT(ISERROR(SEARCH("50",L154)))</formula>
    </cfRule>
    <cfRule type="containsText" dxfId="320" priority="1115" operator="containsText" text="100">
      <formula>NOT(ISERROR(SEARCH("100",L154)))</formula>
    </cfRule>
    <cfRule type="containsText" dxfId="319" priority="1116" operator="containsText" text="75">
      <formula>NOT(ISERROR(SEARCH("75",L154)))</formula>
    </cfRule>
  </conditionalFormatting>
  <conditionalFormatting sqref="L166:L169">
    <cfRule type="containsText" dxfId="318" priority="1025" operator="containsText" text="25">
      <formula>NOT(ISERROR(SEARCH("25",L166)))</formula>
    </cfRule>
    <cfRule type="containsText" dxfId="317" priority="1026" operator="containsText" text="50">
      <formula>NOT(ISERROR(SEARCH("50",L166)))</formula>
    </cfRule>
    <cfRule type="containsText" dxfId="316" priority="1027" operator="containsText" text="100">
      <formula>NOT(ISERROR(SEARCH("100",L166)))</formula>
    </cfRule>
    <cfRule type="containsText" dxfId="315" priority="1028" operator="containsText" text="75">
      <formula>NOT(ISERROR(SEARCH("75",L166)))</formula>
    </cfRule>
  </conditionalFormatting>
  <conditionalFormatting sqref="L178:L181">
    <cfRule type="containsText" dxfId="314" priority="1084" operator="containsText" text="75">
      <formula>NOT(ISERROR(SEARCH("75",L178)))</formula>
    </cfRule>
    <cfRule type="containsText" dxfId="313" priority="1082" operator="containsText" text="50">
      <formula>NOT(ISERROR(SEARCH("50",L178)))</formula>
    </cfRule>
    <cfRule type="containsText" dxfId="312" priority="1083" operator="containsText" text="100">
      <formula>NOT(ISERROR(SEARCH("100",L178)))</formula>
    </cfRule>
    <cfRule type="containsText" dxfId="311" priority="1081" operator="containsText" text="25">
      <formula>NOT(ISERROR(SEARCH("25",L178)))</formula>
    </cfRule>
  </conditionalFormatting>
  <conditionalFormatting sqref="L184:L187">
    <cfRule type="containsText" dxfId="310" priority="1076" operator="containsText" text="75">
      <formula>NOT(ISERROR(SEARCH("75",L184)))</formula>
    </cfRule>
    <cfRule type="containsText" dxfId="309" priority="1075" operator="containsText" text="100">
      <formula>NOT(ISERROR(SEARCH("100",L184)))</formula>
    </cfRule>
    <cfRule type="containsText" dxfId="308" priority="1074" operator="containsText" text="50">
      <formula>NOT(ISERROR(SEARCH("50",L184)))</formula>
    </cfRule>
    <cfRule type="containsText" dxfId="307" priority="1073" operator="containsText" text="25">
      <formula>NOT(ISERROR(SEARCH("25",L184)))</formula>
    </cfRule>
  </conditionalFormatting>
  <conditionalFormatting sqref="L190:L193">
    <cfRule type="containsText" dxfId="306" priority="1067" operator="containsText" text="100">
      <formula>NOT(ISERROR(SEARCH("100",L190)))</formula>
    </cfRule>
    <cfRule type="containsText" dxfId="305" priority="1066" operator="containsText" text="50">
      <formula>NOT(ISERROR(SEARCH("50",L190)))</formula>
    </cfRule>
    <cfRule type="containsText" dxfId="304" priority="1065" operator="containsText" text="25">
      <formula>NOT(ISERROR(SEARCH("25",L190)))</formula>
    </cfRule>
    <cfRule type="containsText" dxfId="303" priority="1068" operator="containsText" text="75">
      <formula>NOT(ISERROR(SEARCH("75",L190)))</formula>
    </cfRule>
  </conditionalFormatting>
  <conditionalFormatting sqref="L28:BF31">
    <cfRule type="containsText" dxfId="302" priority="337" operator="containsText" text="25">
      <formula>NOT(ISERROR(SEARCH("25",L28)))</formula>
    </cfRule>
    <cfRule type="containsText" dxfId="301" priority="338" operator="containsText" text="50">
      <formula>NOT(ISERROR(SEARCH("50",L28)))</formula>
    </cfRule>
    <cfRule type="containsText" dxfId="300" priority="339" operator="containsText" text="100">
      <formula>NOT(ISERROR(SEARCH("100",L28)))</formula>
    </cfRule>
    <cfRule type="containsText" dxfId="299" priority="340" operator="containsText" text="75">
      <formula>NOT(ISERROR(SEARCH("75",L28)))</formula>
    </cfRule>
  </conditionalFormatting>
  <conditionalFormatting sqref="L84:BF85">
    <cfRule type="containsText" dxfId="298" priority="1033" operator="containsText" text="25">
      <formula>NOT(ISERROR(SEARCH("25",L84)))</formula>
    </cfRule>
    <cfRule type="containsText" dxfId="297" priority="1036" operator="containsText" text="75">
      <formula>NOT(ISERROR(SEARCH("75",L84)))</formula>
    </cfRule>
    <cfRule type="containsText" dxfId="296" priority="1035" operator="containsText" text="100">
      <formula>NOT(ISERROR(SEARCH("100",L84)))</formula>
    </cfRule>
    <cfRule type="containsText" dxfId="295" priority="1034" operator="containsText" text="50">
      <formula>NOT(ISERROR(SEARCH("50",L84)))</formula>
    </cfRule>
  </conditionalFormatting>
  <conditionalFormatting sqref="M126">
    <cfRule type="containsText" dxfId="294" priority="557" operator="containsText" text="25">
      <formula>NOT(ISERROR(SEARCH("25",M126)))</formula>
    </cfRule>
    <cfRule type="containsText" dxfId="293" priority="559" operator="containsText" text="100">
      <formula>NOT(ISERROR(SEARCH("100",M126)))</formula>
    </cfRule>
    <cfRule type="containsText" dxfId="292" priority="560" operator="containsText" text="75">
      <formula>NOT(ISERROR(SEARCH("75",M126)))</formula>
    </cfRule>
    <cfRule type="containsText" dxfId="291" priority="558" operator="containsText" text="50">
      <formula>NOT(ISERROR(SEARCH("50",M126)))</formula>
    </cfRule>
  </conditionalFormatting>
  <conditionalFormatting sqref="M150">
    <cfRule type="containsText" dxfId="290" priority="555" operator="containsText" text="100">
      <formula>NOT(ISERROR(SEARCH("100",M150)))</formula>
    </cfRule>
    <cfRule type="containsText" dxfId="289" priority="556" operator="containsText" text="75">
      <formula>NOT(ISERROR(SEARCH("75",M150)))</formula>
    </cfRule>
    <cfRule type="containsText" dxfId="288" priority="553" operator="containsText" text="25">
      <formula>NOT(ISERROR(SEARCH("25",M150)))</formula>
    </cfRule>
    <cfRule type="containsText" dxfId="287" priority="554" operator="containsText" text="50">
      <formula>NOT(ISERROR(SEARCH("50",M150)))</formula>
    </cfRule>
  </conditionalFormatting>
  <conditionalFormatting sqref="M156">
    <cfRule type="containsText" dxfId="286" priority="565" operator="containsText" text="25">
      <formula>NOT(ISERROR(SEARCH("25",M156)))</formula>
    </cfRule>
    <cfRule type="containsText" dxfId="285" priority="566" operator="containsText" text="50">
      <formula>NOT(ISERROR(SEARCH("50",M156)))</formula>
    </cfRule>
    <cfRule type="containsText" dxfId="284" priority="567" operator="containsText" text="100">
      <formula>NOT(ISERROR(SEARCH("100",M156)))</formula>
    </cfRule>
    <cfRule type="containsText" dxfId="283" priority="568" operator="containsText" text="75">
      <formula>NOT(ISERROR(SEARCH("75",M156)))</formula>
    </cfRule>
  </conditionalFormatting>
  <conditionalFormatting sqref="M192">
    <cfRule type="containsText" dxfId="282" priority="545" operator="containsText" text="25">
      <formula>NOT(ISERROR(SEARCH("25",M192)))</formula>
    </cfRule>
    <cfRule type="containsText" dxfId="281" priority="547" operator="containsText" text="100">
      <formula>NOT(ISERROR(SEARCH("100",M192)))</formula>
    </cfRule>
    <cfRule type="containsText" dxfId="280" priority="548" operator="containsText" text="75">
      <formula>NOT(ISERROR(SEARCH("75",M192)))</formula>
    </cfRule>
    <cfRule type="containsText" dxfId="279" priority="546" operator="containsText" text="50">
      <formula>NOT(ISERROR(SEARCH("50",M192)))</formula>
    </cfRule>
  </conditionalFormatting>
  <conditionalFormatting sqref="M198">
    <cfRule type="containsText" dxfId="278" priority="552" operator="containsText" text="75">
      <formula>NOT(ISERROR(SEARCH("75",M198)))</formula>
    </cfRule>
    <cfRule type="containsText" dxfId="277" priority="551" operator="containsText" text="100">
      <formula>NOT(ISERROR(SEARCH("100",M198)))</formula>
    </cfRule>
    <cfRule type="containsText" dxfId="276" priority="550" operator="containsText" text="50">
      <formula>NOT(ISERROR(SEARCH("50",M198)))</formula>
    </cfRule>
    <cfRule type="containsText" dxfId="275" priority="549" operator="containsText" text="25">
      <formula>NOT(ISERROR(SEARCH("25",M198)))</formula>
    </cfRule>
  </conditionalFormatting>
  <conditionalFormatting sqref="M118:N119">
    <cfRule type="containsText" dxfId="274" priority="406" operator="containsText" text="50">
      <formula>NOT(ISERROR(SEARCH("50",M118)))</formula>
    </cfRule>
    <cfRule type="containsText" dxfId="273" priority="407" operator="containsText" text="100">
      <formula>NOT(ISERROR(SEARCH("100",M118)))</formula>
    </cfRule>
    <cfRule type="containsText" dxfId="272" priority="405" operator="containsText" text="25">
      <formula>NOT(ISERROR(SEARCH("25",M118)))</formula>
    </cfRule>
    <cfRule type="containsText" dxfId="271" priority="408" operator="containsText" text="75">
      <formula>NOT(ISERROR(SEARCH("75",M118)))</formula>
    </cfRule>
  </conditionalFormatting>
  <conditionalFormatting sqref="M124:N125">
    <cfRule type="containsText" dxfId="270" priority="404" operator="containsText" text="75">
      <formula>NOT(ISERROR(SEARCH("75",M124)))</formula>
    </cfRule>
    <cfRule type="containsText" dxfId="269" priority="403" operator="containsText" text="100">
      <formula>NOT(ISERROR(SEARCH("100",M124)))</formula>
    </cfRule>
    <cfRule type="containsText" dxfId="268" priority="402" operator="containsText" text="50">
      <formula>NOT(ISERROR(SEARCH("50",M124)))</formula>
    </cfRule>
    <cfRule type="containsText" dxfId="267" priority="401" operator="containsText" text="25">
      <formula>NOT(ISERROR(SEARCH("25",M124)))</formula>
    </cfRule>
  </conditionalFormatting>
  <conditionalFormatting sqref="M130:N131">
    <cfRule type="containsText" dxfId="266" priority="397" operator="containsText" text="25">
      <formula>NOT(ISERROR(SEARCH("25",M130)))</formula>
    </cfRule>
    <cfRule type="containsText" dxfId="265" priority="400" operator="containsText" text="75">
      <formula>NOT(ISERROR(SEARCH("75",M130)))</formula>
    </cfRule>
    <cfRule type="containsText" dxfId="264" priority="399" operator="containsText" text="100">
      <formula>NOT(ISERROR(SEARCH("100",M130)))</formula>
    </cfRule>
    <cfRule type="containsText" dxfId="263" priority="398" operator="containsText" text="50">
      <formula>NOT(ISERROR(SEARCH("50",M130)))</formula>
    </cfRule>
  </conditionalFormatting>
  <conditionalFormatting sqref="M136:N137">
    <cfRule type="containsText" dxfId="262" priority="393" operator="containsText" text="25">
      <formula>NOT(ISERROR(SEARCH("25",M136)))</formula>
    </cfRule>
    <cfRule type="containsText" dxfId="261" priority="396" operator="containsText" text="75">
      <formula>NOT(ISERROR(SEARCH("75",M136)))</formula>
    </cfRule>
    <cfRule type="containsText" dxfId="260" priority="395" operator="containsText" text="100">
      <formula>NOT(ISERROR(SEARCH("100",M136)))</formula>
    </cfRule>
    <cfRule type="containsText" dxfId="259" priority="394" operator="containsText" text="50">
      <formula>NOT(ISERROR(SEARCH("50",M136)))</formula>
    </cfRule>
  </conditionalFormatting>
  <conditionalFormatting sqref="M142:N143">
    <cfRule type="containsText" dxfId="258" priority="391" operator="containsText" text="100">
      <formula>NOT(ISERROR(SEARCH("100",M142)))</formula>
    </cfRule>
    <cfRule type="containsText" dxfId="257" priority="392" operator="containsText" text="75">
      <formula>NOT(ISERROR(SEARCH("75",M142)))</formula>
    </cfRule>
    <cfRule type="containsText" dxfId="256" priority="390" operator="containsText" text="50">
      <formula>NOT(ISERROR(SEARCH("50",M142)))</formula>
    </cfRule>
    <cfRule type="containsText" dxfId="255" priority="389" operator="containsText" text="25">
      <formula>NOT(ISERROR(SEARCH("25",M142)))</formula>
    </cfRule>
  </conditionalFormatting>
  <conditionalFormatting sqref="M148:N149">
    <cfRule type="containsText" dxfId="254" priority="386" operator="containsText" text="50">
      <formula>NOT(ISERROR(SEARCH("50",M148)))</formula>
    </cfRule>
    <cfRule type="containsText" dxfId="253" priority="385" operator="containsText" text="25">
      <formula>NOT(ISERROR(SEARCH("25",M148)))</formula>
    </cfRule>
    <cfRule type="containsText" dxfId="252" priority="388" operator="containsText" text="75">
      <formula>NOT(ISERROR(SEARCH("75",M148)))</formula>
    </cfRule>
    <cfRule type="containsText" dxfId="251" priority="387" operator="containsText" text="100">
      <formula>NOT(ISERROR(SEARCH("100",M148)))</formula>
    </cfRule>
  </conditionalFormatting>
  <conditionalFormatting sqref="M154:N155">
    <cfRule type="containsText" dxfId="250" priority="383" operator="containsText" text="100">
      <formula>NOT(ISERROR(SEARCH("100",M154)))</formula>
    </cfRule>
    <cfRule type="containsText" dxfId="249" priority="382" operator="containsText" text="50">
      <formula>NOT(ISERROR(SEARCH("50",M154)))</formula>
    </cfRule>
    <cfRule type="containsText" dxfId="248" priority="381" operator="containsText" text="25">
      <formula>NOT(ISERROR(SEARCH("25",M154)))</formula>
    </cfRule>
    <cfRule type="containsText" dxfId="247" priority="384" operator="containsText" text="75">
      <formula>NOT(ISERROR(SEARCH("75",M154)))</formula>
    </cfRule>
  </conditionalFormatting>
  <conditionalFormatting sqref="M160:N162">
    <cfRule type="containsText" dxfId="246" priority="378" operator="containsText" text="50">
      <formula>NOT(ISERROR(SEARCH("50",M160)))</formula>
    </cfRule>
    <cfRule type="containsText" dxfId="245" priority="379" operator="containsText" text="100">
      <formula>NOT(ISERROR(SEARCH("100",M160)))</formula>
    </cfRule>
    <cfRule type="containsText" dxfId="244" priority="380" operator="containsText" text="75">
      <formula>NOT(ISERROR(SEARCH("75",M160)))</formula>
    </cfRule>
    <cfRule type="containsText" dxfId="243" priority="377" operator="containsText" text="25">
      <formula>NOT(ISERROR(SEARCH("25",M160)))</formula>
    </cfRule>
  </conditionalFormatting>
  <conditionalFormatting sqref="M166:N167">
    <cfRule type="containsText" dxfId="242" priority="376" operator="containsText" text="75">
      <formula>NOT(ISERROR(SEARCH("75",M166)))</formula>
    </cfRule>
    <cfRule type="containsText" dxfId="241" priority="373" operator="containsText" text="25">
      <formula>NOT(ISERROR(SEARCH("25",M166)))</formula>
    </cfRule>
    <cfRule type="containsText" dxfId="240" priority="374" operator="containsText" text="50">
      <formula>NOT(ISERROR(SEARCH("50",M166)))</formula>
    </cfRule>
    <cfRule type="containsText" dxfId="239" priority="375" operator="containsText" text="100">
      <formula>NOT(ISERROR(SEARCH("100",M166)))</formula>
    </cfRule>
  </conditionalFormatting>
  <conditionalFormatting sqref="M172:N173">
    <cfRule type="containsText" dxfId="238" priority="371" operator="containsText" text="100">
      <formula>NOT(ISERROR(SEARCH("100",M172)))</formula>
    </cfRule>
    <cfRule type="containsText" dxfId="237" priority="372" operator="containsText" text="75">
      <formula>NOT(ISERROR(SEARCH("75",M172)))</formula>
    </cfRule>
    <cfRule type="containsText" dxfId="236" priority="370" operator="containsText" text="50">
      <formula>NOT(ISERROR(SEARCH("50",M172)))</formula>
    </cfRule>
    <cfRule type="containsText" dxfId="235" priority="369" operator="containsText" text="25">
      <formula>NOT(ISERROR(SEARCH("25",M172)))</formula>
    </cfRule>
  </conditionalFormatting>
  <conditionalFormatting sqref="M178:N179">
    <cfRule type="containsText" dxfId="234" priority="368" operator="containsText" text="75">
      <formula>NOT(ISERROR(SEARCH("75",M178)))</formula>
    </cfRule>
    <cfRule type="containsText" dxfId="233" priority="367" operator="containsText" text="100">
      <formula>NOT(ISERROR(SEARCH("100",M178)))</formula>
    </cfRule>
    <cfRule type="containsText" dxfId="232" priority="366" operator="containsText" text="50">
      <formula>NOT(ISERROR(SEARCH("50",M178)))</formula>
    </cfRule>
    <cfRule type="containsText" dxfId="231" priority="365" operator="containsText" text="25">
      <formula>NOT(ISERROR(SEARCH("25",M178)))</formula>
    </cfRule>
  </conditionalFormatting>
  <conditionalFormatting sqref="M184:N185">
    <cfRule type="containsText" dxfId="230" priority="363" operator="containsText" text="100">
      <formula>NOT(ISERROR(SEARCH("100",M184)))</formula>
    </cfRule>
    <cfRule type="containsText" dxfId="229" priority="364" operator="containsText" text="75">
      <formula>NOT(ISERROR(SEARCH("75",M184)))</formula>
    </cfRule>
    <cfRule type="containsText" dxfId="228" priority="361" operator="containsText" text="25">
      <formula>NOT(ISERROR(SEARCH("25",M184)))</formula>
    </cfRule>
    <cfRule type="containsText" dxfId="227" priority="362" operator="containsText" text="50">
      <formula>NOT(ISERROR(SEARCH("50",M184)))</formula>
    </cfRule>
  </conditionalFormatting>
  <conditionalFormatting sqref="M190:N191">
    <cfRule type="containsText" dxfId="226" priority="358" operator="containsText" text="50">
      <formula>NOT(ISERROR(SEARCH("50",M190)))</formula>
    </cfRule>
    <cfRule type="containsText" dxfId="225" priority="359" operator="containsText" text="100">
      <formula>NOT(ISERROR(SEARCH("100",M190)))</formula>
    </cfRule>
    <cfRule type="containsText" dxfId="224" priority="360" operator="containsText" text="75">
      <formula>NOT(ISERROR(SEARCH("75",M190)))</formula>
    </cfRule>
    <cfRule type="containsText" dxfId="223" priority="357" operator="containsText" text="25">
      <formula>NOT(ISERROR(SEARCH("25",M190)))</formula>
    </cfRule>
  </conditionalFormatting>
  <conditionalFormatting sqref="M196:N197">
    <cfRule type="containsText" dxfId="222" priority="356" operator="containsText" text="75">
      <formula>NOT(ISERROR(SEARCH("75",M196)))</formula>
    </cfRule>
    <cfRule type="containsText" dxfId="221" priority="355" operator="containsText" text="100">
      <formula>NOT(ISERROR(SEARCH("100",M196)))</formula>
    </cfRule>
    <cfRule type="containsText" dxfId="220" priority="354" operator="containsText" text="50">
      <formula>NOT(ISERROR(SEARCH("50",M196)))</formula>
    </cfRule>
    <cfRule type="containsText" dxfId="219" priority="353" operator="containsText" text="25">
      <formula>NOT(ISERROR(SEARCH("25",M196)))</formula>
    </cfRule>
  </conditionalFormatting>
  <conditionalFormatting sqref="M202:N203">
    <cfRule type="containsText" dxfId="218" priority="197" operator="containsText" text="25">
      <formula>NOT(ISERROR(SEARCH("25",M202)))</formula>
    </cfRule>
    <cfRule type="containsText" dxfId="217" priority="198" operator="containsText" text="50">
      <formula>NOT(ISERROR(SEARCH("50",M202)))</formula>
    </cfRule>
    <cfRule type="containsText" dxfId="216" priority="199" operator="containsText" text="100">
      <formula>NOT(ISERROR(SEARCH("100",M202)))</formula>
    </cfRule>
    <cfRule type="containsText" dxfId="215" priority="200" operator="containsText" text="75">
      <formula>NOT(ISERROR(SEARCH("75",M202)))</formula>
    </cfRule>
  </conditionalFormatting>
  <conditionalFormatting sqref="M209:N211">
    <cfRule type="containsText" dxfId="214" priority="184" operator="containsText" text="75">
      <formula>NOT(ISERROR(SEARCH("75",M209)))</formula>
    </cfRule>
    <cfRule type="containsText" dxfId="213" priority="181" operator="containsText" text="25">
      <formula>NOT(ISERROR(SEARCH("25",M209)))</formula>
    </cfRule>
    <cfRule type="containsText" dxfId="212" priority="182" operator="containsText" text="50">
      <formula>NOT(ISERROR(SEARCH("50",M209)))</formula>
    </cfRule>
    <cfRule type="containsText" dxfId="211" priority="183" operator="containsText" text="100">
      <formula>NOT(ISERROR(SEARCH("100",M209)))</formula>
    </cfRule>
  </conditionalFormatting>
  <conditionalFormatting sqref="N120">
    <cfRule type="containsText" dxfId="210" priority="510" operator="containsText" text="50">
      <formula>NOT(ISERROR(SEARCH("50",N120)))</formula>
    </cfRule>
    <cfRule type="containsText" dxfId="209" priority="509" operator="containsText" text="25">
      <formula>NOT(ISERROR(SEARCH("25",N120)))</formula>
    </cfRule>
    <cfRule type="containsText" dxfId="208" priority="512" operator="containsText" text="75">
      <formula>NOT(ISERROR(SEARCH("75",N120)))</formula>
    </cfRule>
    <cfRule type="containsText" dxfId="207" priority="511" operator="containsText" text="100">
      <formula>NOT(ISERROR(SEARCH("100",N120)))</formula>
    </cfRule>
  </conditionalFormatting>
  <conditionalFormatting sqref="N132">
    <cfRule type="containsText" dxfId="206" priority="508" operator="containsText" text="75">
      <formula>NOT(ISERROR(SEARCH("75",N132)))</formula>
    </cfRule>
    <cfRule type="containsText" dxfId="205" priority="507" operator="containsText" text="100">
      <formula>NOT(ISERROR(SEARCH("100",N132)))</formula>
    </cfRule>
    <cfRule type="containsText" dxfId="204" priority="506" operator="containsText" text="50">
      <formula>NOT(ISERROR(SEARCH("50",N132)))</formula>
    </cfRule>
    <cfRule type="containsText" dxfId="203" priority="505" operator="containsText" text="25">
      <formula>NOT(ISERROR(SEARCH("25",N132)))</formula>
    </cfRule>
  </conditionalFormatting>
  <conditionalFormatting sqref="N138">
    <cfRule type="containsText" dxfId="202" priority="351" operator="containsText" text="100">
      <formula>NOT(ISERROR(SEARCH("100",N138)))</formula>
    </cfRule>
    <cfRule type="containsText" dxfId="201" priority="350" operator="containsText" text="50">
      <formula>NOT(ISERROR(SEARCH("50",N138)))</formula>
    </cfRule>
    <cfRule type="containsText" dxfId="200" priority="349" operator="containsText" text="25">
      <formula>NOT(ISERROR(SEARCH("25",N138)))</formula>
    </cfRule>
    <cfRule type="containsText" dxfId="199" priority="352" operator="containsText" text="75">
      <formula>NOT(ISERROR(SEARCH("75",N138)))</formula>
    </cfRule>
  </conditionalFormatting>
  <conditionalFormatting sqref="N144">
    <cfRule type="containsText" dxfId="198" priority="498" operator="containsText" text="50">
      <formula>NOT(ISERROR(SEARCH("50",N144)))</formula>
    </cfRule>
    <cfRule type="containsText" dxfId="197" priority="497" operator="containsText" text="25">
      <formula>NOT(ISERROR(SEARCH("25",N144)))</formula>
    </cfRule>
    <cfRule type="containsText" dxfId="196" priority="499" operator="containsText" text="100">
      <formula>NOT(ISERROR(SEARCH("100",N144)))</formula>
    </cfRule>
    <cfRule type="containsText" dxfId="195" priority="500" operator="containsText" text="75">
      <formula>NOT(ISERROR(SEARCH("75",N144)))</formula>
    </cfRule>
  </conditionalFormatting>
  <conditionalFormatting sqref="N168">
    <cfRule type="containsText" dxfId="194" priority="496" operator="containsText" text="75">
      <formula>NOT(ISERROR(SEARCH("75",N168)))</formula>
    </cfRule>
    <cfRule type="containsText" dxfId="193" priority="495" operator="containsText" text="100">
      <formula>NOT(ISERROR(SEARCH("100",N168)))</formula>
    </cfRule>
    <cfRule type="containsText" dxfId="192" priority="494" operator="containsText" text="50">
      <formula>NOT(ISERROR(SEARCH("50",N168)))</formula>
    </cfRule>
    <cfRule type="containsText" dxfId="191" priority="493" operator="containsText" text="25">
      <formula>NOT(ISERROR(SEARCH("25",N168)))</formula>
    </cfRule>
  </conditionalFormatting>
  <conditionalFormatting sqref="N174">
    <cfRule type="containsText" dxfId="190" priority="492" operator="containsText" text="75">
      <formula>NOT(ISERROR(SEARCH("75",N174)))</formula>
    </cfRule>
    <cfRule type="containsText" dxfId="189" priority="491" operator="containsText" text="100">
      <formula>NOT(ISERROR(SEARCH("100",N174)))</formula>
    </cfRule>
    <cfRule type="containsText" dxfId="188" priority="490" operator="containsText" text="50">
      <formula>NOT(ISERROR(SEARCH("50",N174)))</formula>
    </cfRule>
    <cfRule type="containsText" dxfId="187" priority="489" operator="containsText" text="25">
      <formula>NOT(ISERROR(SEARCH("25",N174)))</formula>
    </cfRule>
  </conditionalFormatting>
  <conditionalFormatting sqref="N180">
    <cfRule type="containsText" dxfId="186" priority="488" operator="containsText" text="75">
      <formula>NOT(ISERROR(SEARCH("75",N180)))</formula>
    </cfRule>
    <cfRule type="containsText" dxfId="185" priority="487" operator="containsText" text="100">
      <formula>NOT(ISERROR(SEARCH("100",N180)))</formula>
    </cfRule>
    <cfRule type="containsText" dxfId="184" priority="486" operator="containsText" text="50">
      <formula>NOT(ISERROR(SEARCH("50",N180)))</formula>
    </cfRule>
    <cfRule type="containsText" dxfId="183" priority="485" operator="containsText" text="25">
      <formula>NOT(ISERROR(SEARCH("25",N180)))</formula>
    </cfRule>
  </conditionalFormatting>
  <conditionalFormatting sqref="N186">
    <cfRule type="containsText" dxfId="182" priority="483" operator="containsText" text="100">
      <formula>NOT(ISERROR(SEARCH("100",N186)))</formula>
    </cfRule>
    <cfRule type="containsText" dxfId="181" priority="484" operator="containsText" text="75">
      <formula>NOT(ISERROR(SEARCH("75",N186)))</formula>
    </cfRule>
    <cfRule type="containsText" dxfId="180" priority="482" operator="containsText" text="50">
      <formula>NOT(ISERROR(SEARCH("50",N186)))</formula>
    </cfRule>
    <cfRule type="containsText" dxfId="179" priority="481" operator="containsText" text="25">
      <formula>NOT(ISERROR(SEARCH("25",N186)))</formula>
    </cfRule>
  </conditionalFormatting>
  <conditionalFormatting sqref="N204">
    <cfRule type="containsText" dxfId="178" priority="203" operator="containsText" text="100">
      <formula>NOT(ISERROR(SEARCH("100",N204)))</formula>
    </cfRule>
    <cfRule type="containsText" dxfId="177" priority="202" operator="containsText" text="50">
      <formula>NOT(ISERROR(SEARCH("50",N204)))</formula>
    </cfRule>
    <cfRule type="containsText" dxfId="176" priority="201" operator="containsText" text="25">
      <formula>NOT(ISERROR(SEARCH("25",N204)))</formula>
    </cfRule>
    <cfRule type="containsText" dxfId="175" priority="204" operator="containsText" text="75">
      <formula>NOT(ISERROR(SEARCH("75",N204)))</formula>
    </cfRule>
  </conditionalFormatting>
  <conditionalFormatting sqref="O211:P211">
    <cfRule type="containsText" dxfId="174" priority="179" operator="containsText" text="100">
      <formula>NOT(ISERROR(SEARCH("100",O211)))</formula>
    </cfRule>
    <cfRule type="containsText" dxfId="173" priority="180" operator="containsText" text="75">
      <formula>NOT(ISERROR(SEARCH("75",O211)))</formula>
    </cfRule>
    <cfRule type="containsText" dxfId="172" priority="178" operator="containsText" text="50">
      <formula>NOT(ISERROR(SEARCH("50",O211)))</formula>
    </cfRule>
    <cfRule type="containsText" dxfId="171" priority="177" operator="containsText" text="25">
      <formula>NOT(ISERROR(SEARCH("25",O211)))</formula>
    </cfRule>
  </conditionalFormatting>
  <conditionalFormatting sqref="S148:S151">
    <cfRule type="containsText" dxfId="170" priority="271" operator="containsText" text="100">
      <formula>NOT(ISERROR(SEARCH("100",S148)))</formula>
    </cfRule>
    <cfRule type="containsText" dxfId="169" priority="270" operator="containsText" text="50">
      <formula>NOT(ISERROR(SEARCH("50",S148)))</formula>
    </cfRule>
    <cfRule type="containsText" dxfId="168" priority="269" operator="containsText" text="25">
      <formula>NOT(ISERROR(SEARCH("25",S148)))</formula>
    </cfRule>
    <cfRule type="containsText" dxfId="167" priority="272" operator="containsText" text="75">
      <formula>NOT(ISERROR(SEARCH("75",S148)))</formula>
    </cfRule>
  </conditionalFormatting>
  <conditionalFormatting sqref="S160:S163">
    <cfRule type="containsText" dxfId="166" priority="136" operator="containsText" text="75">
      <formula>NOT(ISERROR(SEARCH("75",S160)))</formula>
    </cfRule>
    <cfRule type="containsText" dxfId="165" priority="135" operator="containsText" text="100">
      <formula>NOT(ISERROR(SEARCH("100",S160)))</formula>
    </cfRule>
    <cfRule type="containsText" dxfId="164" priority="133" operator="containsText" text="25">
      <formula>NOT(ISERROR(SEARCH("25",S160)))</formula>
    </cfRule>
    <cfRule type="containsText" dxfId="163" priority="134" operator="containsText" text="50">
      <formula>NOT(ISERROR(SEARCH("50",S160)))</formula>
    </cfRule>
  </conditionalFormatting>
  <conditionalFormatting sqref="S166:S169">
    <cfRule type="containsText" dxfId="162" priority="264" operator="containsText" text="75">
      <formula>NOT(ISERROR(SEARCH("75",S166)))</formula>
    </cfRule>
    <cfRule type="containsText" dxfId="161" priority="263" operator="containsText" text="100">
      <formula>NOT(ISERROR(SEARCH("100",S166)))</formula>
    </cfRule>
    <cfRule type="containsText" dxfId="160" priority="262" operator="containsText" text="50">
      <formula>NOT(ISERROR(SEARCH("50",S166)))</formula>
    </cfRule>
    <cfRule type="containsText" dxfId="159" priority="261" operator="containsText" text="25">
      <formula>NOT(ISERROR(SEARCH("25",S166)))</formula>
    </cfRule>
  </conditionalFormatting>
  <conditionalFormatting sqref="S172:S174">
    <cfRule type="containsText" dxfId="158" priority="166" operator="containsText" text="50">
      <formula>NOT(ISERROR(SEARCH("50",S172)))</formula>
    </cfRule>
    <cfRule type="containsText" dxfId="157" priority="167" operator="containsText" text="100">
      <formula>NOT(ISERROR(SEARCH("100",S172)))</formula>
    </cfRule>
    <cfRule type="containsText" dxfId="156" priority="168" operator="containsText" text="75">
      <formula>NOT(ISERROR(SEARCH("75",S172)))</formula>
    </cfRule>
    <cfRule type="containsText" dxfId="155" priority="165" operator="containsText" text="25">
      <formula>NOT(ISERROR(SEARCH("25",S172)))</formula>
    </cfRule>
  </conditionalFormatting>
  <conditionalFormatting sqref="S179">
    <cfRule type="containsText" dxfId="154" priority="129" operator="containsText" text="25">
      <formula>NOT(ISERROR(SEARCH("25",S179)))</formula>
    </cfRule>
    <cfRule type="containsText" dxfId="153" priority="132" operator="containsText" text="75">
      <formula>NOT(ISERROR(SEARCH("75",S179)))</formula>
    </cfRule>
    <cfRule type="containsText" dxfId="152" priority="131" operator="containsText" text="100">
      <formula>NOT(ISERROR(SEARCH("100",S179)))</formula>
    </cfRule>
    <cfRule type="containsText" dxfId="151" priority="130" operator="containsText" text="50">
      <formula>NOT(ISERROR(SEARCH("50",S179)))</formula>
    </cfRule>
  </conditionalFormatting>
  <conditionalFormatting sqref="S181">
    <cfRule type="containsText" dxfId="150" priority="128" operator="containsText" text="75">
      <formula>NOT(ISERROR(SEARCH("75",S181)))</formula>
    </cfRule>
    <cfRule type="containsText" dxfId="149" priority="127" operator="containsText" text="100">
      <formula>NOT(ISERROR(SEARCH("100",S181)))</formula>
    </cfRule>
    <cfRule type="containsText" dxfId="148" priority="126" operator="containsText" text="50">
      <formula>NOT(ISERROR(SEARCH("50",S181)))</formula>
    </cfRule>
    <cfRule type="containsText" dxfId="147" priority="125" operator="containsText" text="25">
      <formula>NOT(ISERROR(SEARCH("25",S181)))</formula>
    </cfRule>
  </conditionalFormatting>
  <conditionalFormatting sqref="S185">
    <cfRule type="containsText" dxfId="146" priority="123" operator="containsText" text="100">
      <formula>NOT(ISERROR(SEARCH("100",S185)))</formula>
    </cfRule>
    <cfRule type="containsText" dxfId="145" priority="124" operator="containsText" text="75">
      <formula>NOT(ISERROR(SEARCH("75",S185)))</formula>
    </cfRule>
    <cfRule type="containsText" dxfId="144" priority="122" operator="containsText" text="50">
      <formula>NOT(ISERROR(SEARCH("50",S185)))</formula>
    </cfRule>
    <cfRule type="containsText" dxfId="143" priority="121" operator="containsText" text="25">
      <formula>NOT(ISERROR(SEARCH("25",S185)))</formula>
    </cfRule>
  </conditionalFormatting>
  <conditionalFormatting sqref="S187">
    <cfRule type="containsText" dxfId="142" priority="118" operator="containsText" text="50">
      <formula>NOT(ISERROR(SEARCH("50",S187)))</formula>
    </cfRule>
    <cfRule type="containsText" dxfId="141" priority="119" operator="containsText" text="100">
      <formula>NOT(ISERROR(SEARCH("100",S187)))</formula>
    </cfRule>
    <cfRule type="containsText" dxfId="140" priority="120" operator="containsText" text="75">
      <formula>NOT(ISERROR(SEARCH("75",S187)))</formula>
    </cfRule>
    <cfRule type="containsText" dxfId="139" priority="117" operator="containsText" text="25">
      <formula>NOT(ISERROR(SEARCH("25",S187)))</formula>
    </cfRule>
  </conditionalFormatting>
  <conditionalFormatting sqref="S191">
    <cfRule type="containsText" dxfId="138" priority="115" operator="containsText" text="100">
      <formula>NOT(ISERROR(SEARCH("100",S191)))</formula>
    </cfRule>
    <cfRule type="containsText" dxfId="137" priority="116" operator="containsText" text="75">
      <formula>NOT(ISERROR(SEARCH("75",S191)))</formula>
    </cfRule>
    <cfRule type="containsText" dxfId="136" priority="113" operator="containsText" text="25">
      <formula>NOT(ISERROR(SEARCH("25",S191)))</formula>
    </cfRule>
    <cfRule type="containsText" dxfId="135" priority="114" operator="containsText" text="50">
      <formula>NOT(ISERROR(SEARCH("50",S191)))</formula>
    </cfRule>
  </conditionalFormatting>
  <conditionalFormatting sqref="S193">
    <cfRule type="containsText" dxfId="134" priority="109" operator="containsText" text="25">
      <formula>NOT(ISERROR(SEARCH("25",S193)))</formula>
    </cfRule>
    <cfRule type="containsText" dxfId="133" priority="110" operator="containsText" text="50">
      <formula>NOT(ISERROR(SEARCH("50",S193)))</formula>
    </cfRule>
    <cfRule type="containsText" dxfId="132" priority="111" operator="containsText" text="100">
      <formula>NOT(ISERROR(SEARCH("100",S193)))</formula>
    </cfRule>
    <cfRule type="containsText" dxfId="131" priority="112" operator="containsText" text="75">
      <formula>NOT(ISERROR(SEARCH("75",S193)))</formula>
    </cfRule>
  </conditionalFormatting>
  <conditionalFormatting sqref="S197:S199">
    <cfRule type="containsText" dxfId="130" priority="146" operator="containsText" text="50">
      <formula>NOT(ISERROR(SEARCH("50",S197)))</formula>
    </cfRule>
    <cfRule type="containsText" dxfId="129" priority="145" operator="containsText" text="25">
      <formula>NOT(ISERROR(SEARCH("25",S197)))</formula>
    </cfRule>
    <cfRule type="containsText" dxfId="128" priority="147" operator="containsText" text="100">
      <formula>NOT(ISERROR(SEARCH("100",S197)))</formula>
    </cfRule>
    <cfRule type="containsText" dxfId="127" priority="148" operator="containsText" text="75">
      <formula>NOT(ISERROR(SEARCH("75",S197)))</formula>
    </cfRule>
  </conditionalFormatting>
  <conditionalFormatting sqref="S203">
    <cfRule type="containsText" dxfId="126" priority="161" operator="containsText" text="25">
      <formula>NOT(ISERROR(SEARCH("25",S203)))</formula>
    </cfRule>
    <cfRule type="containsText" dxfId="125" priority="164" operator="containsText" text="75">
      <formula>NOT(ISERROR(SEARCH("75",S203)))</formula>
    </cfRule>
    <cfRule type="containsText" dxfId="124" priority="163" operator="containsText" text="100">
      <formula>NOT(ISERROR(SEARCH("100",S203)))</formula>
    </cfRule>
    <cfRule type="containsText" dxfId="123" priority="162" operator="containsText" text="50">
      <formula>NOT(ISERROR(SEARCH("50",S203)))</formula>
    </cfRule>
  </conditionalFormatting>
  <conditionalFormatting sqref="S205">
    <cfRule type="containsText" dxfId="122" priority="160" operator="containsText" text="75">
      <formula>NOT(ISERROR(SEARCH("75",S205)))</formula>
    </cfRule>
    <cfRule type="containsText" dxfId="121" priority="159" operator="containsText" text="100">
      <formula>NOT(ISERROR(SEARCH("100",S205)))</formula>
    </cfRule>
    <cfRule type="containsText" dxfId="120" priority="158" operator="containsText" text="50">
      <formula>NOT(ISERROR(SEARCH("50",S205)))</formula>
    </cfRule>
    <cfRule type="containsText" dxfId="119" priority="157" operator="containsText" text="25">
      <formula>NOT(ISERROR(SEARCH("25",S205)))</formula>
    </cfRule>
  </conditionalFormatting>
  <conditionalFormatting sqref="S208:S210">
    <cfRule type="containsText" dxfId="118" priority="137" operator="containsText" text="25">
      <formula>NOT(ISERROR(SEARCH("25",S208)))</formula>
    </cfRule>
    <cfRule type="containsText" dxfId="117" priority="138" operator="containsText" text="50">
      <formula>NOT(ISERROR(SEARCH("50",S208)))</formula>
    </cfRule>
    <cfRule type="containsText" dxfId="116" priority="139" operator="containsText" text="100">
      <formula>NOT(ISERROR(SEARCH("100",S208)))</formula>
    </cfRule>
    <cfRule type="containsText" dxfId="115" priority="140" operator="containsText" text="75">
      <formula>NOT(ISERROR(SEARCH("75",S208)))</formula>
    </cfRule>
  </conditionalFormatting>
  <conditionalFormatting sqref="BH4:BN85 BG86:BM86 BH87:BN97 C126">
    <cfRule type="containsText" dxfId="114" priority="1856" operator="containsText" text="75">
      <formula>NOT(ISERROR(SEARCH("75",C4)))</formula>
    </cfRule>
    <cfRule type="containsText" dxfId="113" priority="1855" operator="containsText" text="100">
      <formula>NOT(ISERROR(SEARCH("100",C4)))</formula>
    </cfRule>
    <cfRule type="containsText" dxfId="112" priority="1854" operator="containsText" text="50">
      <formula>NOT(ISERROR(SEARCH("50",C4)))</formula>
    </cfRule>
    <cfRule type="containsText" dxfId="111" priority="1853" operator="containsText" text="25">
      <formula>NOT(ISERROR(SEARCH("25",C4)))</formula>
    </cfRule>
  </conditionalFormatting>
  <conditionalFormatting sqref="BK3 BG4:BG85 BF86 BG87:BG97 BH98:BH99 BG100:BG198">
    <cfRule type="cellIs" dxfId="110" priority="3705" operator="between">
      <formula>0</formula>
      <formula>40</formula>
    </cfRule>
    <cfRule type="cellIs" dxfId="109" priority="3706" operator="between">
      <formula>40</formula>
      <formula>70</formula>
    </cfRule>
    <cfRule type="cellIs" dxfId="108" priority="3707" operator="between">
      <formula>70</formula>
      <formula>100</formula>
    </cfRule>
  </conditionalFormatting>
  <conditionalFormatting sqref="S113">
    <cfRule type="containsText" dxfId="105" priority="105" operator="containsText" text="25">
      <formula>NOT(ISERROR(SEARCH("25",S113)))</formula>
    </cfRule>
    <cfRule type="containsText" dxfId="106" priority="106" operator="containsText" text="50">
      <formula>NOT(ISERROR(SEARCH("50",S113)))</formula>
    </cfRule>
    <cfRule type="containsText" dxfId="107" priority="107" operator="containsText" text="100">
      <formula>NOT(ISERROR(SEARCH("100",S113)))</formula>
    </cfRule>
    <cfRule type="containsText" dxfId="104" priority="108" operator="containsText" text="75">
      <formula>NOT(ISERROR(SEARCH("75",S113)))</formula>
    </cfRule>
  </conditionalFormatting>
  <conditionalFormatting sqref="S114">
    <cfRule type="containsText" dxfId="101" priority="101" operator="containsText" text="25">
      <formula>NOT(ISERROR(SEARCH("25",S114)))</formula>
    </cfRule>
    <cfRule type="containsText" dxfId="102" priority="102" operator="containsText" text="50">
      <formula>NOT(ISERROR(SEARCH("50",S114)))</formula>
    </cfRule>
    <cfRule type="containsText" dxfId="103" priority="103" operator="containsText" text="100">
      <formula>NOT(ISERROR(SEARCH("100",S114)))</formula>
    </cfRule>
    <cfRule type="containsText" dxfId="100" priority="104" operator="containsText" text="75">
      <formula>NOT(ISERROR(SEARCH("75",S114)))</formula>
    </cfRule>
  </conditionalFormatting>
  <conditionalFormatting sqref="S115">
    <cfRule type="containsText" dxfId="97" priority="97" operator="containsText" text="25">
      <formula>NOT(ISERROR(SEARCH("25",S115)))</formula>
    </cfRule>
    <cfRule type="containsText" dxfId="98" priority="98" operator="containsText" text="50">
      <formula>NOT(ISERROR(SEARCH("50",S115)))</formula>
    </cfRule>
    <cfRule type="containsText" dxfId="99" priority="99" operator="containsText" text="100">
      <formula>NOT(ISERROR(SEARCH("100",S115)))</formula>
    </cfRule>
    <cfRule type="containsText" dxfId="96" priority="100" operator="containsText" text="75">
      <formula>NOT(ISERROR(SEARCH("75",S115)))</formula>
    </cfRule>
  </conditionalFormatting>
  <conditionalFormatting sqref="S16">
    <cfRule type="containsText" dxfId="93" priority="93" operator="containsText" text="25">
      <formula>NOT(ISERROR(SEARCH("25",S16)))</formula>
    </cfRule>
    <cfRule type="containsText" dxfId="94" priority="94" operator="containsText" text="50">
      <formula>NOT(ISERROR(SEARCH("50",S16)))</formula>
    </cfRule>
    <cfRule type="containsText" dxfId="95" priority="95" operator="containsText" text="100">
      <formula>NOT(ISERROR(SEARCH("100",S16)))</formula>
    </cfRule>
    <cfRule type="containsText" dxfId="92" priority="96" operator="containsText" text="75">
      <formula>NOT(ISERROR(SEARCH("75",S16)))</formula>
    </cfRule>
  </conditionalFormatting>
  <conditionalFormatting sqref="S17">
    <cfRule type="containsText" dxfId="89" priority="89" operator="containsText" text="25">
      <formula>NOT(ISERROR(SEARCH("25",S17)))</formula>
    </cfRule>
    <cfRule type="containsText" dxfId="90" priority="90" operator="containsText" text="50">
      <formula>NOT(ISERROR(SEARCH("50",S17)))</formula>
    </cfRule>
    <cfRule type="containsText" dxfId="91" priority="91" operator="containsText" text="100">
      <formula>NOT(ISERROR(SEARCH("100",S17)))</formula>
    </cfRule>
    <cfRule type="containsText" dxfId="88" priority="92" operator="containsText" text="75">
      <formula>NOT(ISERROR(SEARCH("75",S17)))</formula>
    </cfRule>
  </conditionalFormatting>
  <conditionalFormatting sqref="S35">
    <cfRule type="containsText" dxfId="85" priority="85" operator="containsText" text="25">
      <formula>NOT(ISERROR(SEARCH("25",S35)))</formula>
    </cfRule>
    <cfRule type="containsText" dxfId="86" priority="86" operator="containsText" text="50">
      <formula>NOT(ISERROR(SEARCH("50",S35)))</formula>
    </cfRule>
    <cfRule type="containsText" dxfId="87" priority="87" operator="containsText" text="100">
      <formula>NOT(ISERROR(SEARCH("100",S35)))</formula>
    </cfRule>
    <cfRule type="containsText" dxfId="84" priority="88" operator="containsText" text="75">
      <formula>NOT(ISERROR(SEARCH("75",S35)))</formula>
    </cfRule>
  </conditionalFormatting>
  <conditionalFormatting sqref="S18">
    <cfRule type="containsText" dxfId="83" priority="81" operator="containsText" text="25">
      <formula>NOT(ISERROR(SEARCH("25",S18)))</formula>
    </cfRule>
    <cfRule type="containsText" dxfId="82" priority="82" operator="containsText" text="50">
      <formula>NOT(ISERROR(SEARCH("50",S18)))</formula>
    </cfRule>
    <cfRule type="containsText" dxfId="81" priority="83" operator="containsText" text="100">
      <formula>NOT(ISERROR(SEARCH("100",S18)))</formula>
    </cfRule>
    <cfRule type="containsText" dxfId="80" priority="84" operator="containsText" text="75">
      <formula>NOT(ISERROR(SEARCH("75",S18)))</formula>
    </cfRule>
  </conditionalFormatting>
  <conditionalFormatting sqref="S19">
    <cfRule type="containsText" dxfId="79" priority="77" operator="containsText" text="25">
      <formula>NOT(ISERROR(SEARCH("25",S19)))</formula>
    </cfRule>
    <cfRule type="containsText" dxfId="78" priority="78" operator="containsText" text="50">
      <formula>NOT(ISERROR(SEARCH("50",S19)))</formula>
    </cfRule>
    <cfRule type="containsText" dxfId="77" priority="79" operator="containsText" text="100">
      <formula>NOT(ISERROR(SEARCH("100",S19)))</formula>
    </cfRule>
    <cfRule type="containsText" dxfId="76" priority="80" operator="containsText" text="75">
      <formula>NOT(ISERROR(SEARCH("75",S19)))</formula>
    </cfRule>
  </conditionalFormatting>
  <conditionalFormatting sqref="S34">
    <cfRule type="containsText" dxfId="75" priority="73" operator="containsText" text="25">
      <formula>NOT(ISERROR(SEARCH("25",S34)))</formula>
    </cfRule>
    <cfRule type="containsText" dxfId="74" priority="74" operator="containsText" text="50">
      <formula>NOT(ISERROR(SEARCH("50",S34)))</formula>
    </cfRule>
    <cfRule type="containsText" dxfId="73" priority="75" operator="containsText" text="100">
      <formula>NOT(ISERROR(SEARCH("100",S34)))</formula>
    </cfRule>
    <cfRule type="containsText" dxfId="72" priority="76" operator="containsText" text="75">
      <formula>NOT(ISERROR(SEARCH("75",S34)))</formula>
    </cfRule>
  </conditionalFormatting>
  <conditionalFormatting sqref="S37">
    <cfRule type="containsText" dxfId="71" priority="69" operator="containsText" text="25">
      <formula>NOT(ISERROR(SEARCH("25",S37)))</formula>
    </cfRule>
    <cfRule type="containsText" dxfId="70" priority="70" operator="containsText" text="50">
      <formula>NOT(ISERROR(SEARCH("50",S37)))</formula>
    </cfRule>
    <cfRule type="containsText" dxfId="69" priority="71" operator="containsText" text="100">
      <formula>NOT(ISERROR(SEARCH("100",S37)))</formula>
    </cfRule>
    <cfRule type="containsText" dxfId="68" priority="72" operator="containsText" text="75">
      <formula>NOT(ISERROR(SEARCH("75",S37)))</formula>
    </cfRule>
  </conditionalFormatting>
  <conditionalFormatting sqref="S36">
    <cfRule type="containsText" dxfId="67" priority="65" operator="containsText" text="25">
      <formula>NOT(ISERROR(SEARCH("25",S36)))</formula>
    </cfRule>
    <cfRule type="containsText" dxfId="66" priority="66" operator="containsText" text="50">
      <formula>NOT(ISERROR(SEARCH("50",S36)))</formula>
    </cfRule>
    <cfRule type="containsText" dxfId="65" priority="67" operator="containsText" text="100">
      <formula>NOT(ISERROR(SEARCH("100",S36)))</formula>
    </cfRule>
    <cfRule type="containsText" dxfId="64" priority="68" operator="containsText" text="75">
      <formula>NOT(ISERROR(SEARCH("75",S36)))</formula>
    </cfRule>
  </conditionalFormatting>
  <conditionalFormatting sqref="S128">
    <cfRule type="containsText" dxfId="61" priority="61" operator="containsText" text="25">
      <formula>NOT(ISERROR(SEARCH("25",S128)))</formula>
    </cfRule>
    <cfRule type="containsText" dxfId="60" priority="62" operator="containsText" text="50">
      <formula>NOT(ISERROR(SEARCH("50",S128)))</formula>
    </cfRule>
    <cfRule type="containsText" dxfId="62" priority="63" operator="containsText" text="100">
      <formula>NOT(ISERROR(SEARCH("100",S128)))</formula>
    </cfRule>
    <cfRule type="containsText" dxfId="63" priority="64" operator="containsText" text="75">
      <formula>NOT(ISERROR(SEARCH("75",S128)))</formula>
    </cfRule>
  </conditionalFormatting>
  <conditionalFormatting sqref="S125">
    <cfRule type="containsText" dxfId="59" priority="57" operator="containsText" text="25">
      <formula>NOT(ISERROR(SEARCH("25",S125)))</formula>
    </cfRule>
    <cfRule type="containsText" dxfId="58" priority="58" operator="containsText" text="50">
      <formula>NOT(ISERROR(SEARCH("50",S125)))</formula>
    </cfRule>
    <cfRule type="containsText" dxfId="57" priority="59" operator="containsText" text="100">
      <formula>NOT(ISERROR(SEARCH("100",S125)))</formula>
    </cfRule>
    <cfRule type="containsText" dxfId="56" priority="60" operator="containsText" text="75">
      <formula>NOT(ISERROR(SEARCH("75",S125)))</formula>
    </cfRule>
  </conditionalFormatting>
  <conditionalFormatting sqref="S126">
    <cfRule type="containsText" dxfId="55" priority="53" operator="containsText" text="25">
      <formula>NOT(ISERROR(SEARCH("25",S126)))</formula>
    </cfRule>
    <cfRule type="containsText" dxfId="54" priority="54" operator="containsText" text="50">
      <formula>NOT(ISERROR(SEARCH("50",S126)))</formula>
    </cfRule>
    <cfRule type="containsText" dxfId="53" priority="55" operator="containsText" text="100">
      <formula>NOT(ISERROR(SEARCH("100",S126)))</formula>
    </cfRule>
    <cfRule type="containsText" dxfId="52" priority="56" operator="containsText" text="75">
      <formula>NOT(ISERROR(SEARCH("75",S126)))</formula>
    </cfRule>
  </conditionalFormatting>
  <conditionalFormatting sqref="S127">
    <cfRule type="containsText" dxfId="51" priority="49" operator="containsText" text="25">
      <formula>NOT(ISERROR(SEARCH("25",S127)))</formula>
    </cfRule>
    <cfRule type="containsText" dxfId="50" priority="50" operator="containsText" text="50">
      <formula>NOT(ISERROR(SEARCH("50",S127)))</formula>
    </cfRule>
    <cfRule type="containsText" dxfId="49" priority="51" operator="containsText" text="100">
      <formula>NOT(ISERROR(SEARCH("100",S127)))</formula>
    </cfRule>
    <cfRule type="containsText" dxfId="48" priority="52" operator="containsText" text="75">
      <formula>NOT(ISERROR(SEARCH("75",S127)))</formula>
    </cfRule>
  </conditionalFormatting>
  <conditionalFormatting sqref="S134">
    <cfRule type="containsText" dxfId="45" priority="45" operator="containsText" text="25">
      <formula>NOT(ISERROR(SEARCH("25",S134)))</formula>
    </cfRule>
    <cfRule type="containsText" dxfId="44" priority="46" operator="containsText" text="50">
      <formula>NOT(ISERROR(SEARCH("50",S134)))</formula>
    </cfRule>
    <cfRule type="containsText" dxfId="46" priority="47" operator="containsText" text="100">
      <formula>NOT(ISERROR(SEARCH("100",S134)))</formula>
    </cfRule>
    <cfRule type="containsText" dxfId="47" priority="48" operator="containsText" text="75">
      <formula>NOT(ISERROR(SEARCH("75",S134)))</formula>
    </cfRule>
  </conditionalFormatting>
  <conditionalFormatting sqref="S132">
    <cfRule type="containsText" dxfId="39" priority="37" operator="containsText" text="25">
      <formula>NOT(ISERROR(SEARCH("25",S132)))</formula>
    </cfRule>
    <cfRule type="containsText" dxfId="38" priority="38" operator="containsText" text="50">
      <formula>NOT(ISERROR(SEARCH("50",S132)))</formula>
    </cfRule>
    <cfRule type="containsText" dxfId="37" priority="39" operator="containsText" text="100">
      <formula>NOT(ISERROR(SEARCH("100",S132)))</formula>
    </cfRule>
    <cfRule type="containsText" dxfId="36" priority="40" operator="containsText" text="75">
      <formula>NOT(ISERROR(SEARCH("75",S132)))</formula>
    </cfRule>
  </conditionalFormatting>
  <conditionalFormatting sqref="S133">
    <cfRule type="containsText" dxfId="35" priority="33" operator="containsText" text="25">
      <formula>NOT(ISERROR(SEARCH("25",S133)))</formula>
    </cfRule>
    <cfRule type="containsText" dxfId="34" priority="34" operator="containsText" text="50">
      <formula>NOT(ISERROR(SEARCH("50",S133)))</formula>
    </cfRule>
    <cfRule type="containsText" dxfId="33" priority="35" operator="containsText" text="100">
      <formula>NOT(ISERROR(SEARCH("100",S133)))</formula>
    </cfRule>
    <cfRule type="containsText" dxfId="32" priority="36" operator="containsText" text="75">
      <formula>NOT(ISERROR(SEARCH("75",S133)))</formula>
    </cfRule>
  </conditionalFormatting>
  <conditionalFormatting sqref="S140">
    <cfRule type="containsText" dxfId="29" priority="29" operator="containsText" text="25">
      <formula>NOT(ISERROR(SEARCH("25",S140)))</formula>
    </cfRule>
    <cfRule type="containsText" dxfId="28" priority="30" operator="containsText" text="50">
      <formula>NOT(ISERROR(SEARCH("50",S140)))</formula>
    </cfRule>
    <cfRule type="containsText" dxfId="30" priority="31" operator="containsText" text="100">
      <formula>NOT(ISERROR(SEARCH("100",S140)))</formula>
    </cfRule>
    <cfRule type="containsText" dxfId="31" priority="32" operator="containsText" text="75">
      <formula>NOT(ISERROR(SEARCH("75",S140)))</formula>
    </cfRule>
  </conditionalFormatting>
  <conditionalFormatting sqref="S137">
    <cfRule type="containsText" dxfId="27" priority="25" operator="containsText" text="25">
      <formula>NOT(ISERROR(SEARCH("25",S137)))</formula>
    </cfRule>
    <cfRule type="containsText" dxfId="26" priority="26" operator="containsText" text="50">
      <formula>NOT(ISERROR(SEARCH("50",S137)))</formula>
    </cfRule>
    <cfRule type="containsText" dxfId="25" priority="27" operator="containsText" text="100">
      <formula>NOT(ISERROR(SEARCH("100",S137)))</formula>
    </cfRule>
    <cfRule type="containsText" dxfId="24" priority="28" operator="containsText" text="75">
      <formula>NOT(ISERROR(SEARCH("75",S137)))</formula>
    </cfRule>
  </conditionalFormatting>
  <conditionalFormatting sqref="S139">
    <cfRule type="containsText" dxfId="19" priority="17" operator="containsText" text="25">
      <formula>NOT(ISERROR(SEARCH("25",S139)))</formula>
    </cfRule>
    <cfRule type="containsText" dxfId="18" priority="18" operator="containsText" text="50">
      <formula>NOT(ISERROR(SEARCH("50",S139)))</formula>
    </cfRule>
    <cfRule type="containsText" dxfId="17" priority="19" operator="containsText" text="100">
      <formula>NOT(ISERROR(SEARCH("100",S139)))</formula>
    </cfRule>
    <cfRule type="containsText" dxfId="16" priority="20" operator="containsText" text="75">
      <formula>NOT(ISERROR(SEARCH("75",S139)))</formula>
    </cfRule>
  </conditionalFormatting>
  <conditionalFormatting sqref="S64:S67">
    <cfRule type="containsText" dxfId="12" priority="13" operator="containsText" text="25">
      <formula>NOT(ISERROR(SEARCH("25",S64)))</formula>
    </cfRule>
    <cfRule type="containsText" dxfId="15" priority="14" operator="containsText" text="50">
      <formula>NOT(ISERROR(SEARCH("50",S64)))</formula>
    </cfRule>
    <cfRule type="containsText" dxfId="14" priority="15" operator="containsText" text="100">
      <formula>NOT(ISERROR(SEARCH("100",S64)))</formula>
    </cfRule>
    <cfRule type="containsText" dxfId="13" priority="16" operator="containsText" text="75">
      <formula>NOT(ISERROR(SEARCH("75",S64)))</formula>
    </cfRule>
  </conditionalFormatting>
  <conditionalFormatting sqref="S70 S72:S73">
    <cfRule type="containsText" dxfId="8" priority="9" operator="containsText" text="25">
      <formula>NOT(ISERROR(SEARCH("25",S70)))</formula>
    </cfRule>
    <cfRule type="containsText" dxfId="11" priority="10" operator="containsText" text="50">
      <formula>NOT(ISERROR(SEARCH("50",S70)))</formula>
    </cfRule>
    <cfRule type="containsText" dxfId="10" priority="11" operator="containsText" text="100">
      <formula>NOT(ISERROR(SEARCH("100",S70)))</formula>
    </cfRule>
    <cfRule type="containsText" dxfId="9" priority="12" operator="containsText" text="75">
      <formula>NOT(ISERROR(SEARCH("75",S70)))</formula>
    </cfRule>
  </conditionalFormatting>
  <conditionalFormatting sqref="S78:S79">
    <cfRule type="containsText" dxfId="4" priority="5" operator="containsText" text="25">
      <formula>NOT(ISERROR(SEARCH("25",S78)))</formula>
    </cfRule>
    <cfRule type="containsText" dxfId="7" priority="6" operator="containsText" text="50">
      <formula>NOT(ISERROR(SEARCH("50",S78)))</formula>
    </cfRule>
    <cfRule type="containsText" dxfId="6" priority="7" operator="containsText" text="100">
      <formula>NOT(ISERROR(SEARCH("100",S78)))</formula>
    </cfRule>
    <cfRule type="containsText" dxfId="5" priority="8" operator="containsText" text="75">
      <formula>NOT(ISERROR(SEARCH("75",S78)))</formula>
    </cfRule>
  </conditionalFormatting>
  <conditionalFormatting sqref="S71">
    <cfRule type="containsText" dxfId="3" priority="1" operator="containsText" text="25">
      <formula>NOT(ISERROR(SEARCH("25",S71)))</formula>
    </cfRule>
    <cfRule type="containsText" dxfId="2" priority="2" operator="containsText" text="50">
      <formula>NOT(ISERROR(SEARCH("50",S71)))</formula>
    </cfRule>
    <cfRule type="containsText" dxfId="1" priority="3" operator="containsText" text="100">
      <formula>NOT(ISERROR(SEARCH("100",S71)))</formula>
    </cfRule>
    <cfRule type="containsText" dxfId="0" priority="4" operator="containsText" text="75">
      <formula>NOT(ISERROR(SEARCH("75",S71)))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sandesh bs</dc:creator>
  <cp:lastModifiedBy>sandesh bs</cp:lastModifiedBy>
  <dcterms:created xsi:type="dcterms:W3CDTF">2025-08-22T11:40:59Z</dcterms:created>
  <dcterms:modified xsi:type="dcterms:W3CDTF">2026-03-03T06:28:08Z</dcterms:modified>
</cp:coreProperties>
</file>